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Tasks" sheetId="3" state="visible" r:id="rId3"/>
    <sheet name="Bugs" sheetId="4" state="visible" r:id="rId4"/>
    <sheet name="Decisions" sheetId="5" state="visible" r:id="rId5"/>
  </sheets>
  <definedNames>
    <definedName name="_xlnm._FilterDatabase" localSheetId="2" hidden="1">'Tasks'!$A$1:$J$85</definedName>
    <definedName name="_xlnm._FilterDatabase" localSheetId="3" hidden="1">'Bugs'!$A$1:$I$35</definedName>
    <definedName name="_xlnm._FilterDatabase" localSheetId="4" hidden="1">'Decisions'!$A$1:$G$12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D6B4F"/>
      <sz val="18"/>
    </font>
    <font>
      <name val="Arial"/>
      <color rgb="005D6B66"/>
      <sz val="11"/>
    </font>
    <font>
      <name val="Arial"/>
      <b val="1"/>
      <color rgb="001F2A27"/>
      <sz val="12"/>
    </font>
    <font>
      <name val="Arial"/>
      <color rgb="001F2A27"/>
      <sz val="10"/>
    </font>
    <font>
      <name val="Arial"/>
      <b val="1"/>
      <color rgb="001F2A27"/>
      <sz val="10"/>
    </font>
    <font>
      <name val="Arial"/>
      <b val="1"/>
      <color rgb="00FFFFFF"/>
      <sz val="10"/>
    </font>
    <font>
      <name val="Arial"/>
      <b val="1"/>
      <color rgb="000D6B4F"/>
      <sz val="16"/>
    </font>
    <font>
      <name val="Arial"/>
      <color rgb="005D6B66"/>
      <sz val="10"/>
    </font>
    <font>
      <name val="Arial"/>
      <b val="1"/>
      <sz val="10"/>
    </font>
  </fonts>
  <fills count="13">
    <fill>
      <patternFill/>
    </fill>
    <fill>
      <patternFill patternType="gray125"/>
    </fill>
    <fill>
      <patternFill patternType="solid">
        <fgColor rgb="00DDF0E6"/>
      </patternFill>
    </fill>
    <fill>
      <patternFill patternType="solid">
        <fgColor rgb="00E6F2EC"/>
      </patternFill>
    </fill>
    <fill>
      <patternFill patternType="solid">
        <fgColor rgb="00DCE9F7"/>
      </patternFill>
    </fill>
    <fill>
      <patternFill patternType="solid">
        <fgColor rgb="00FDEBD2"/>
      </patternFill>
    </fill>
    <fill>
      <patternFill patternType="solid">
        <fgColor rgb="00FCF2C9"/>
      </patternFill>
    </fill>
    <fill>
      <patternFill patternType="solid">
        <fgColor rgb="00F3E4F7"/>
      </patternFill>
    </fill>
    <fill>
      <patternFill patternType="solid">
        <fgColor rgb="00ECE9E4"/>
      </patternFill>
    </fill>
    <fill>
      <patternFill patternType="solid">
        <fgColor rgb="00F0F2F1"/>
      </patternFill>
    </fill>
    <fill>
      <patternFill patternType="solid">
        <fgColor rgb="000D6B4F"/>
      </patternFill>
    </fill>
    <fill>
      <patternFill patternType="solid">
        <fgColor rgb="00FFF7D6"/>
      </patternFill>
    </fill>
    <fill>
      <patternFill patternType="solid">
        <fgColor rgb="00FBE1DE"/>
      </patternFill>
    </fill>
  </fills>
  <borders count="2">
    <border>
      <left/>
      <right/>
      <top/>
      <bottom/>
      <diagonal/>
    </border>
    <border>
      <left style="thin">
        <color rgb="00D5DDDA"/>
      </left>
      <right style="thin">
        <color rgb="00D5DDDA"/>
      </right>
      <top style="thin">
        <color rgb="00D5DDDA"/>
      </top>
      <bottom style="thin">
        <color rgb="00D5DDDA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5" fillId="8" borderId="0" pivotButton="0" quotePrefix="0" xfId="0"/>
    <xf numFmtId="0" fontId="5" fillId="9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6" fillId="10" borderId="1" applyAlignment="1" pivotButton="0" quotePrefix="0" xfId="0">
      <alignment vertical="center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0" fontId="4" fillId="9" borderId="1" pivotButton="0" quotePrefix="0" xfId="0"/>
    <xf numFmtId="0" fontId="5" fillId="0" borderId="1" pivotButton="0" quotePrefix="0" xfId="0"/>
    <xf numFmtId="0" fontId="4" fillId="12" borderId="1" pivotButton="0" quotePrefix="0" xfId="0"/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/>
    </xf>
  </cellXfs>
  <cellStyles count="1">
    <cellStyle name="Normal" xfId="0" builtinId="0" hidden="0"/>
  </cellStyles>
  <dxfs count="9">
    <dxf>
      <fill>
        <patternFill patternType="solid">
          <fgColor rgb="00DDF0E6"/>
        </patternFill>
      </fill>
    </dxf>
    <dxf>
      <fill>
        <patternFill patternType="solid">
          <fgColor rgb="00E6F2EC"/>
        </patternFill>
      </fill>
    </dxf>
    <dxf>
      <fill>
        <patternFill patternType="solid">
          <fgColor rgb="00DCE9F7"/>
        </patternFill>
      </fill>
    </dxf>
    <dxf>
      <fill>
        <patternFill patternType="solid">
          <fgColor rgb="00FDEBD2"/>
        </patternFill>
      </fill>
    </dxf>
    <dxf>
      <fill>
        <patternFill patternType="solid">
          <fgColor rgb="00FCF2C9"/>
        </patternFill>
      </fill>
    </dxf>
    <dxf>
      <fill>
        <patternFill patternType="solid">
          <fgColor rgb="00F3E4F7"/>
        </patternFill>
      </fill>
    </dxf>
    <dxf>
      <fill>
        <patternFill patternType="solid">
          <fgColor rgb="00ECE9E4"/>
        </patternFill>
      </fill>
    </dxf>
    <dxf>
      <fill>
        <patternFill patternType="solid">
          <fgColor rgb="00F0F2F1"/>
        </patternFill>
      </fill>
    </dxf>
    <dxf>
      <fill>
        <patternFill patternType="solid">
          <fgColor rgb="00FBE1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00" customWidth="1" min="3" max="3"/>
  </cols>
  <sheetData>
    <row r="1">
      <c r="B1" s="1" t="inlineStr">
        <is>
          <t>Medical HRMS &amp; Jameah — Task Tracker</t>
        </is>
      </c>
    </row>
    <row r="2">
      <c r="B2" s="2" t="inlineStr">
        <is>
          <t>Al-Riyada College for Health Sciences · status as of 21 Oct 2026</t>
        </is>
      </c>
    </row>
    <row r="4">
      <c r="B4" s="3" t="inlineStr">
        <is>
          <t>What this workbook is</t>
        </is>
      </c>
    </row>
    <row r="5" ht="30" customHeight="1">
      <c r="B5" s="4" t="inlineStr">
        <is>
          <t>One place to see what has been done on Medical HRMS (HR system) and Jameah (Ministry of Education data), what is being done now, and what is still pending.</t>
        </is>
      </c>
    </row>
    <row r="6" ht="30" customHeight="1">
      <c r="B6" s="4" t="inlineStr">
        <is>
          <t>It continues the 1 Oct 2026 tracker (HRM_TASK_TRACKER.md / .csv): tasks HR-01 to HR-32 keep their IDs and are updated; HR-33 onwards and JM-01 onwards are new.</t>
        </is>
      </c>
    </row>
    <row r="8">
      <c r="B8" s="3" t="inlineStr">
        <is>
          <t>Sheets</t>
        </is>
      </c>
    </row>
    <row r="9">
      <c r="B9" s="5" t="inlineStr">
        <is>
          <t>Summary</t>
        </is>
      </c>
      <c r="C9" s="6" t="inlineStr">
        <is>
          <t>Counts by status, workstream and date. Updates by itself when you change a status in Tasks.</t>
        </is>
      </c>
    </row>
    <row r="10">
      <c r="B10" s="5" t="inlineStr">
        <is>
          <t>Tasks</t>
        </is>
      </c>
      <c r="C10" s="6" t="inlineStr">
        <is>
          <t>Every task: when it was done, status, owner, evidence and the next step. Filter on any column.</t>
        </is>
      </c>
    </row>
    <row r="11">
      <c r="B11" s="5" t="inlineStr">
        <is>
          <t>Bugs</t>
        </is>
      </c>
      <c r="C11" s="6" t="inlineStr">
        <is>
          <t>Every bug found during testing, its cause, the fix and how it was verified.</t>
        </is>
      </c>
    </row>
    <row r="12">
      <c r="B12" s="5" t="inlineStr">
        <is>
          <t>Decisions</t>
        </is>
      </c>
      <c r="C12" s="6" t="inlineStr">
        <is>
          <t>Questions only the college, the Ministry or another team can answer. Yellow columns are for the answer.</t>
        </is>
      </c>
    </row>
    <row r="14">
      <c r="B14" s="3" t="inlineStr">
        <is>
          <t>Status values</t>
        </is>
      </c>
    </row>
    <row r="15">
      <c r="B15" s="7" t="inlineStr">
        <is>
          <t>Done</t>
        </is>
      </c>
      <c r="C15" s="6" t="inlineStr">
        <is>
          <t>Built and tested.</t>
        </is>
      </c>
    </row>
    <row r="16">
      <c r="B16" s="8" t="inlineStr">
        <is>
          <t>Done – client UAT pending</t>
        </is>
      </c>
      <c r="C16" s="6" t="inlineStr">
        <is>
          <t>Built and tested by the team; waiting for HR/client acceptance testing.</t>
        </is>
      </c>
    </row>
    <row r="17">
      <c r="B17" s="9" t="inlineStr">
        <is>
          <t>In progress</t>
        </is>
      </c>
      <c r="C17" s="6" t="inlineStr">
        <is>
          <t>Being worked on.</t>
        </is>
      </c>
    </row>
    <row r="18">
      <c r="B18" s="10" t="inlineStr">
        <is>
          <t>Pending – decision needed</t>
        </is>
      </c>
      <c r="C18" s="6" t="inlineStr">
        <is>
          <t>Waiting for an answer (see Decisions).</t>
        </is>
      </c>
    </row>
    <row r="19">
      <c r="B19" s="11" t="inlineStr">
        <is>
          <t>Pending – data / setup</t>
        </is>
      </c>
      <c r="C19" s="6" t="inlineStr">
        <is>
          <t>Code is ready; needs data entry or server setup.</t>
        </is>
      </c>
    </row>
    <row r="20">
      <c r="B20" s="12" t="inlineStr">
        <is>
          <t>Pending – development</t>
        </is>
      </c>
      <c r="C20" s="6" t="inlineStr">
        <is>
          <t>Not built yet.</t>
        </is>
      </c>
    </row>
    <row r="21">
      <c r="B21" s="13" t="inlineStr">
        <is>
          <t>Pending – other team</t>
        </is>
      </c>
      <c r="C21" s="6" t="inlineStr">
        <is>
          <t>Needs the Education team, Finance or another party.</t>
        </is>
      </c>
    </row>
    <row r="22">
      <c r="B22" s="14" t="inlineStr">
        <is>
          <t>Planned</t>
        </is>
      </c>
      <c r="C22" s="6" t="inlineStr">
        <is>
          <t>Agreed for later; not started.</t>
        </is>
      </c>
    </row>
    <row r="24">
      <c r="B24" s="3" t="inlineStr">
        <is>
          <t>How to update</t>
        </is>
      </c>
    </row>
    <row r="25" ht="30" customHeight="1">
      <c r="B25" s="4" t="inlineStr">
        <is>
          <t>Change the Status cell in Tasks (it has a drop-down). Add new tasks at the bottom with the next free ID. Summary and colours update automatically.</t>
        </is>
      </c>
    </row>
    <row r="27">
      <c r="B27" s="3" t="inlineStr">
        <is>
          <t>Sources</t>
        </is>
      </c>
    </row>
    <row r="28" ht="30" customHeight="1">
      <c r="B28" s="4" t="inlineStr">
        <is>
          <t>HRM_TASK_TRACKER.md/.csv, HRM_UAT_SCENARIOS.md, HRM_APPROVAL_MATRIX.md, JAMEAH_HRMS_* documents, MINISTRY_FIELD_MAPPING.html, Ministry schema V0.1, git history of medical_hrms (phpdevpro/edu-alriyada-hrm), test runs of 19–21 Oct 2026.</t>
        </is>
      </c>
    </row>
    <row r="29" ht="30" customHeight="1">
      <c r="B29" s="4" t="inlineStr">
        <is>
          <t>Companion files: Medical_HRMS_Jameah_Test_Cases.xlsx (for the testing team) and the Test Report.</t>
        </is>
      </c>
    </row>
  </sheetData>
  <mergeCells count="5">
    <mergeCell ref="B6:C6"/>
    <mergeCell ref="B29:C29"/>
    <mergeCell ref="B25:C25"/>
    <mergeCell ref="B5:C5"/>
    <mergeCell ref="B28:C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5" t="inlineStr">
        <is>
          <t>Summary</t>
        </is>
      </c>
    </row>
    <row r="2">
      <c r="A2" s="16" t="inlineStr">
        <is>
          <t>Counts are formulas over the Tasks and Bugs sheets. As of 21 Oct 2026.</t>
        </is>
      </c>
    </row>
    <row r="4">
      <c r="A4" s="17" t="inlineStr">
        <is>
          <t>Tasks by status</t>
        </is>
      </c>
      <c r="B4" s="17" t="inlineStr">
        <is>
          <t>Tasks</t>
        </is>
      </c>
    </row>
    <row r="5">
      <c r="A5" s="18" t="inlineStr">
        <is>
          <t>Done</t>
        </is>
      </c>
      <c r="B5" s="19">
        <f>COUNTIF(Tasks!$E$2:$E$285,A5)</f>
        <v/>
      </c>
    </row>
    <row r="6">
      <c r="A6" s="20" t="inlineStr">
        <is>
          <t>Done – client UAT pending</t>
        </is>
      </c>
      <c r="B6" s="19">
        <f>COUNTIF(Tasks!$E$2:$E$285,A6)</f>
        <v/>
      </c>
    </row>
    <row r="7">
      <c r="A7" s="21" t="inlineStr">
        <is>
          <t>In progress</t>
        </is>
      </c>
      <c r="B7" s="19">
        <f>COUNTIF(Tasks!$E$2:$E$285,A7)</f>
        <v/>
      </c>
    </row>
    <row r="8">
      <c r="A8" s="22" t="inlineStr">
        <is>
          <t>Pending – decision needed</t>
        </is>
      </c>
      <c r="B8" s="19">
        <f>COUNTIF(Tasks!$E$2:$E$285,A8)</f>
        <v/>
      </c>
    </row>
    <row r="9">
      <c r="A9" s="23" t="inlineStr">
        <is>
          <t>Pending – data / setup</t>
        </is>
      </c>
      <c r="B9" s="19">
        <f>COUNTIF(Tasks!$E$2:$E$285,A9)</f>
        <v/>
      </c>
    </row>
    <row r="10">
      <c r="A10" s="24" t="inlineStr">
        <is>
          <t>Pending – development</t>
        </is>
      </c>
      <c r="B10" s="19">
        <f>COUNTIF(Tasks!$E$2:$E$285,A10)</f>
        <v/>
      </c>
    </row>
    <row r="11">
      <c r="A11" s="25" t="inlineStr">
        <is>
          <t>Pending – other team</t>
        </is>
      </c>
      <c r="B11" s="19">
        <f>COUNTIF(Tasks!$E$2:$E$285,A11)</f>
        <v/>
      </c>
    </row>
    <row r="12">
      <c r="A12" s="26" t="inlineStr">
        <is>
          <t>Planned</t>
        </is>
      </c>
      <c r="B12" s="19">
        <f>COUNTIF(Tasks!$E$2:$E$285,A12)</f>
        <v/>
      </c>
    </row>
    <row r="13">
      <c r="A13" s="27" t="inlineStr">
        <is>
          <t>Total tasks</t>
        </is>
      </c>
      <c r="B13" s="27">
        <f>SUM(B5:B12)</f>
        <v/>
      </c>
    </row>
    <row r="14"/>
    <row r="15">
      <c r="A15" s="17" t="inlineStr">
        <is>
          <t>Medical HRMS vs Jameah</t>
        </is>
      </c>
      <c r="B15" s="17" t="inlineStr">
        <is>
          <t>Done (both Done statuses)</t>
        </is>
      </c>
      <c r="C15" s="17" t="inlineStr">
        <is>
          <t>Open (everything else)</t>
        </is>
      </c>
      <c r="D15" s="17" t="inlineStr">
        <is>
          <t>Total</t>
        </is>
      </c>
    </row>
    <row r="16">
      <c r="A16" s="19" t="inlineStr">
        <is>
          <t>Medical HRMS (HR-…)</t>
        </is>
      </c>
      <c r="B16" s="19">
        <f>COUNTIFS(Tasks!$A$2:$A$285,"HR-*",Tasks!$E$2:$E$285,"Done")+COUNTIFS(Tasks!$A$2:$A$285,"HR-*",Tasks!$E$2:$E$285,"Done – client UAT pending")</f>
        <v/>
      </c>
      <c r="C16" s="19">
        <f>D16-B16</f>
        <v/>
      </c>
      <c r="D16" s="19">
        <f>COUNTIF(Tasks!$A$2:$A$285,"HR-*")</f>
        <v/>
      </c>
    </row>
    <row r="17">
      <c r="A17" s="19" t="inlineStr">
        <is>
          <t>Jameah (JM-…)</t>
        </is>
      </c>
      <c r="B17" s="19">
        <f>COUNTIFS(Tasks!$A$2:$A$285,"JM-*",Tasks!$E$2:$E$285,"Done")+COUNTIFS(Tasks!$A$2:$A$285,"JM-*",Tasks!$E$2:$E$285,"Done – client UAT pending")</f>
        <v/>
      </c>
      <c r="C17" s="19">
        <f>D17-B17</f>
        <v/>
      </c>
      <c r="D17" s="19">
        <f>COUNTIF(Tasks!$A$2:$A$285,"JM-*")</f>
        <v/>
      </c>
    </row>
    <row r="18"/>
    <row r="19">
      <c r="A19" s="17" t="inlineStr">
        <is>
          <t>Work done by date</t>
        </is>
      </c>
      <c r="B19" s="17" t="inlineStr">
        <is>
          <t>Tasks</t>
        </is>
      </c>
    </row>
    <row r="20">
      <c r="A20" s="19" t="inlineStr">
        <is>
          <t>Earlier (May – 5 Oct 2026)</t>
        </is>
      </c>
      <c r="B20" s="19">
        <f>COUNTIF(Tasks!$D$2:$D$285,"Earlier (May – 5 Oct 2026)")</f>
        <v/>
      </c>
    </row>
    <row r="21">
      <c r="A21" s="19" t="inlineStr">
        <is>
          <t>19 Oct 2026</t>
        </is>
      </c>
      <c r="B21" s="19">
        <f>COUNTIF(Tasks!$D$2:$D$285,"19 Oct 2026")</f>
        <v/>
      </c>
    </row>
    <row r="22">
      <c r="A22" s="19" t="inlineStr">
        <is>
          <t>20 Oct 2026</t>
        </is>
      </c>
      <c r="B22" s="19">
        <f>COUNTIF(Tasks!$D$2:$D$285,"20 Oct 2026")</f>
        <v/>
      </c>
    </row>
    <row r="23">
      <c r="A23" s="19" t="inlineStr">
        <is>
          <t>21 Oct 2026</t>
        </is>
      </c>
      <c r="B23" s="19">
        <f>COUNTIF(Tasks!$D$2:$D$285,"21 Oct 2026")</f>
        <v/>
      </c>
    </row>
    <row r="24">
      <c r="A24" s="19" t="inlineStr">
        <is>
          <t>— (not done yet)</t>
        </is>
      </c>
      <c r="B24" s="19">
        <f>COUNTIF(Tasks!$D$2:$D$285,"—")</f>
        <v/>
      </c>
    </row>
    <row r="25"/>
    <row r="26" ht="45" customHeight="1">
      <c r="A26" s="17" t="inlineStr">
        <is>
          <t>Workstream</t>
        </is>
      </c>
      <c r="B26" s="17" t="inlineStr">
        <is>
          <t>Done</t>
        </is>
      </c>
      <c r="C26" s="17" t="inlineStr">
        <is>
          <t>Done – client UAT pending</t>
        </is>
      </c>
      <c r="D26" s="17" t="inlineStr">
        <is>
          <t>In progress</t>
        </is>
      </c>
      <c r="E26" s="17" t="inlineStr">
        <is>
          <t>Pending – decision needed</t>
        </is>
      </c>
      <c r="F26" s="17" t="inlineStr">
        <is>
          <t>Pending – data / setup</t>
        </is>
      </c>
      <c r="G26" s="17" t="inlineStr">
        <is>
          <t>Pending – development</t>
        </is>
      </c>
      <c r="H26" s="17" t="inlineStr">
        <is>
          <t>Pending – other team</t>
        </is>
      </c>
      <c r="I26" s="17" t="inlineStr">
        <is>
          <t>Planned</t>
        </is>
      </c>
      <c r="J26" s="17" t="inlineStr">
        <is>
          <t>Total</t>
        </is>
      </c>
    </row>
    <row r="27">
      <c r="A27" s="19" t="inlineStr">
        <is>
          <t>Foundation</t>
        </is>
      </c>
      <c r="B27" s="19">
        <f>COUNTIFS(Tasks!$B$2:$B$285,$A27,Tasks!$E$2:$E$285,B$26)</f>
        <v/>
      </c>
      <c r="C27" s="19">
        <f>COUNTIFS(Tasks!$B$2:$B$285,$A27,Tasks!$E$2:$E$285,C$26)</f>
        <v/>
      </c>
      <c r="D27" s="19">
        <f>COUNTIFS(Tasks!$B$2:$B$285,$A27,Tasks!$E$2:$E$285,D$26)</f>
        <v/>
      </c>
      <c r="E27" s="19">
        <f>COUNTIFS(Tasks!$B$2:$B$285,$A27,Tasks!$E$2:$E$285,E$26)</f>
        <v/>
      </c>
      <c r="F27" s="19">
        <f>COUNTIFS(Tasks!$B$2:$B$285,$A27,Tasks!$E$2:$E$285,F$26)</f>
        <v/>
      </c>
      <c r="G27" s="19">
        <f>COUNTIFS(Tasks!$B$2:$B$285,$A27,Tasks!$E$2:$E$285,G$26)</f>
        <v/>
      </c>
      <c r="H27" s="19">
        <f>COUNTIFS(Tasks!$B$2:$B$285,$A27,Tasks!$E$2:$E$285,H$26)</f>
        <v/>
      </c>
      <c r="I27" s="19">
        <f>COUNTIFS(Tasks!$B$2:$B$285,$A27,Tasks!$E$2:$E$285,I$26)</f>
        <v/>
      </c>
      <c r="J27" s="19">
        <f>COUNTIF(Tasks!$B$2:$B$285,$A27)</f>
        <v/>
      </c>
    </row>
    <row r="28">
      <c r="A28" s="19" t="inlineStr">
        <is>
          <t>Master data</t>
        </is>
      </c>
      <c r="B28" s="19">
        <f>COUNTIFS(Tasks!$B$2:$B$285,$A28,Tasks!$E$2:$E$285,B$26)</f>
        <v/>
      </c>
      <c r="C28" s="19">
        <f>COUNTIFS(Tasks!$B$2:$B$285,$A28,Tasks!$E$2:$E$285,C$26)</f>
        <v/>
      </c>
      <c r="D28" s="19">
        <f>COUNTIFS(Tasks!$B$2:$B$285,$A28,Tasks!$E$2:$E$285,D$26)</f>
        <v/>
      </c>
      <c r="E28" s="19">
        <f>COUNTIFS(Tasks!$B$2:$B$285,$A28,Tasks!$E$2:$E$285,E$26)</f>
        <v/>
      </c>
      <c r="F28" s="19">
        <f>COUNTIFS(Tasks!$B$2:$B$285,$A28,Tasks!$E$2:$E$285,F$26)</f>
        <v/>
      </c>
      <c r="G28" s="19">
        <f>COUNTIFS(Tasks!$B$2:$B$285,$A28,Tasks!$E$2:$E$285,G$26)</f>
        <v/>
      </c>
      <c r="H28" s="19">
        <f>COUNTIFS(Tasks!$B$2:$B$285,$A28,Tasks!$E$2:$E$285,H$26)</f>
        <v/>
      </c>
      <c r="I28" s="19">
        <f>COUNTIFS(Tasks!$B$2:$B$285,$A28,Tasks!$E$2:$E$285,I$26)</f>
        <v/>
      </c>
      <c r="J28" s="19">
        <f>COUNTIF(Tasks!$B$2:$B$285,$A28)</f>
        <v/>
      </c>
    </row>
    <row r="29">
      <c r="A29" s="19" t="inlineStr">
        <is>
          <t>Registration</t>
        </is>
      </c>
      <c r="B29" s="19">
        <f>COUNTIFS(Tasks!$B$2:$B$285,$A29,Tasks!$E$2:$E$285,B$26)</f>
        <v/>
      </c>
      <c r="C29" s="19">
        <f>COUNTIFS(Tasks!$B$2:$B$285,$A29,Tasks!$E$2:$E$285,C$26)</f>
        <v/>
      </c>
      <c r="D29" s="19">
        <f>COUNTIFS(Tasks!$B$2:$B$285,$A29,Tasks!$E$2:$E$285,D$26)</f>
        <v/>
      </c>
      <c r="E29" s="19">
        <f>COUNTIFS(Tasks!$B$2:$B$285,$A29,Tasks!$E$2:$E$285,E$26)</f>
        <v/>
      </c>
      <c r="F29" s="19">
        <f>COUNTIFS(Tasks!$B$2:$B$285,$A29,Tasks!$E$2:$E$285,F$26)</f>
        <v/>
      </c>
      <c r="G29" s="19">
        <f>COUNTIFS(Tasks!$B$2:$B$285,$A29,Tasks!$E$2:$E$285,G$26)</f>
        <v/>
      </c>
      <c r="H29" s="19">
        <f>COUNTIFS(Tasks!$B$2:$B$285,$A29,Tasks!$E$2:$E$285,H$26)</f>
        <v/>
      </c>
      <c r="I29" s="19">
        <f>COUNTIFS(Tasks!$B$2:$B$285,$A29,Tasks!$E$2:$E$285,I$26)</f>
        <v/>
      </c>
      <c r="J29" s="19">
        <f>COUNTIF(Tasks!$B$2:$B$285,$A29)</f>
        <v/>
      </c>
    </row>
    <row r="30">
      <c r="A30" s="19" t="inlineStr">
        <is>
          <t>Recruitment</t>
        </is>
      </c>
      <c r="B30" s="19">
        <f>COUNTIFS(Tasks!$B$2:$B$285,$A30,Tasks!$E$2:$E$285,B$26)</f>
        <v/>
      </c>
      <c r="C30" s="19">
        <f>COUNTIFS(Tasks!$B$2:$B$285,$A30,Tasks!$E$2:$E$285,C$26)</f>
        <v/>
      </c>
      <c r="D30" s="19">
        <f>COUNTIFS(Tasks!$B$2:$B$285,$A30,Tasks!$E$2:$E$285,D$26)</f>
        <v/>
      </c>
      <c r="E30" s="19">
        <f>COUNTIFS(Tasks!$B$2:$B$285,$A30,Tasks!$E$2:$E$285,E$26)</f>
        <v/>
      </c>
      <c r="F30" s="19">
        <f>COUNTIFS(Tasks!$B$2:$B$285,$A30,Tasks!$E$2:$E$285,F$26)</f>
        <v/>
      </c>
      <c r="G30" s="19">
        <f>COUNTIFS(Tasks!$B$2:$B$285,$A30,Tasks!$E$2:$E$285,G$26)</f>
        <v/>
      </c>
      <c r="H30" s="19">
        <f>COUNTIFS(Tasks!$B$2:$B$285,$A30,Tasks!$E$2:$E$285,H$26)</f>
        <v/>
      </c>
      <c r="I30" s="19">
        <f>COUNTIFS(Tasks!$B$2:$B$285,$A30,Tasks!$E$2:$E$285,I$26)</f>
        <v/>
      </c>
      <c r="J30" s="19">
        <f>COUNTIF(Tasks!$B$2:$B$285,$A30)</f>
        <v/>
      </c>
    </row>
    <row r="31">
      <c r="A31" s="19" t="inlineStr">
        <is>
          <t>HR dashboard</t>
        </is>
      </c>
      <c r="B31" s="19">
        <f>COUNTIFS(Tasks!$B$2:$B$285,$A31,Tasks!$E$2:$E$285,B$26)</f>
        <v/>
      </c>
      <c r="C31" s="19">
        <f>COUNTIFS(Tasks!$B$2:$B$285,$A31,Tasks!$E$2:$E$285,C$26)</f>
        <v/>
      </c>
      <c r="D31" s="19">
        <f>COUNTIFS(Tasks!$B$2:$B$285,$A31,Tasks!$E$2:$E$285,D$26)</f>
        <v/>
      </c>
      <c r="E31" s="19">
        <f>COUNTIFS(Tasks!$B$2:$B$285,$A31,Tasks!$E$2:$E$285,E$26)</f>
        <v/>
      </c>
      <c r="F31" s="19">
        <f>COUNTIFS(Tasks!$B$2:$B$285,$A31,Tasks!$E$2:$E$285,F$26)</f>
        <v/>
      </c>
      <c r="G31" s="19">
        <f>COUNTIFS(Tasks!$B$2:$B$285,$A31,Tasks!$E$2:$E$285,G$26)</f>
        <v/>
      </c>
      <c r="H31" s="19">
        <f>COUNTIFS(Tasks!$B$2:$B$285,$A31,Tasks!$E$2:$E$285,H$26)</f>
        <v/>
      </c>
      <c r="I31" s="19">
        <f>COUNTIFS(Tasks!$B$2:$B$285,$A31,Tasks!$E$2:$E$285,I$26)</f>
        <v/>
      </c>
      <c r="J31" s="19">
        <f>COUNTIF(Tasks!$B$2:$B$285,$A31)</f>
        <v/>
      </c>
    </row>
    <row r="32">
      <c r="A32" s="19" t="inlineStr">
        <is>
          <t>Self-service</t>
        </is>
      </c>
      <c r="B32" s="19">
        <f>COUNTIFS(Tasks!$B$2:$B$285,$A32,Tasks!$E$2:$E$285,B$26)</f>
        <v/>
      </c>
      <c r="C32" s="19">
        <f>COUNTIFS(Tasks!$B$2:$B$285,$A32,Tasks!$E$2:$E$285,C$26)</f>
        <v/>
      </c>
      <c r="D32" s="19">
        <f>COUNTIFS(Tasks!$B$2:$B$285,$A32,Tasks!$E$2:$E$285,D$26)</f>
        <v/>
      </c>
      <c r="E32" s="19">
        <f>COUNTIFS(Tasks!$B$2:$B$285,$A32,Tasks!$E$2:$E$285,E$26)</f>
        <v/>
      </c>
      <c r="F32" s="19">
        <f>COUNTIFS(Tasks!$B$2:$B$285,$A32,Tasks!$E$2:$E$285,F$26)</f>
        <v/>
      </c>
      <c r="G32" s="19">
        <f>COUNTIFS(Tasks!$B$2:$B$285,$A32,Tasks!$E$2:$E$285,G$26)</f>
        <v/>
      </c>
      <c r="H32" s="19">
        <f>COUNTIFS(Tasks!$B$2:$B$285,$A32,Tasks!$E$2:$E$285,H$26)</f>
        <v/>
      </c>
      <c r="I32" s="19">
        <f>COUNTIFS(Tasks!$B$2:$B$285,$A32,Tasks!$E$2:$E$285,I$26)</f>
        <v/>
      </c>
      <c r="J32" s="19">
        <f>COUNTIF(Tasks!$B$2:$B$285,$A32)</f>
        <v/>
      </c>
    </row>
    <row r="33">
      <c r="A33" s="19" t="inlineStr">
        <is>
          <t>Security</t>
        </is>
      </c>
      <c r="B33" s="19">
        <f>COUNTIFS(Tasks!$B$2:$B$285,$A33,Tasks!$E$2:$E$285,B$26)</f>
        <v/>
      </c>
      <c r="C33" s="19">
        <f>COUNTIFS(Tasks!$B$2:$B$285,$A33,Tasks!$E$2:$E$285,C$26)</f>
        <v/>
      </c>
      <c r="D33" s="19">
        <f>COUNTIFS(Tasks!$B$2:$B$285,$A33,Tasks!$E$2:$E$285,D$26)</f>
        <v/>
      </c>
      <c r="E33" s="19">
        <f>COUNTIFS(Tasks!$B$2:$B$285,$A33,Tasks!$E$2:$E$285,E$26)</f>
        <v/>
      </c>
      <c r="F33" s="19">
        <f>COUNTIFS(Tasks!$B$2:$B$285,$A33,Tasks!$E$2:$E$285,F$26)</f>
        <v/>
      </c>
      <c r="G33" s="19">
        <f>COUNTIFS(Tasks!$B$2:$B$285,$A33,Tasks!$E$2:$E$285,G$26)</f>
        <v/>
      </c>
      <c r="H33" s="19">
        <f>COUNTIFS(Tasks!$B$2:$B$285,$A33,Tasks!$E$2:$E$285,H$26)</f>
        <v/>
      </c>
      <c r="I33" s="19">
        <f>COUNTIFS(Tasks!$B$2:$B$285,$A33,Tasks!$E$2:$E$285,I$26)</f>
        <v/>
      </c>
      <c r="J33" s="19">
        <f>COUNTIF(Tasks!$B$2:$B$285,$A33)</f>
        <v/>
      </c>
    </row>
    <row r="34">
      <c r="A34" s="19" t="inlineStr">
        <is>
          <t>Leave</t>
        </is>
      </c>
      <c r="B34" s="19">
        <f>COUNTIFS(Tasks!$B$2:$B$285,$A34,Tasks!$E$2:$E$285,B$26)</f>
        <v/>
      </c>
      <c r="C34" s="19">
        <f>COUNTIFS(Tasks!$B$2:$B$285,$A34,Tasks!$E$2:$E$285,C$26)</f>
        <v/>
      </c>
      <c r="D34" s="19">
        <f>COUNTIFS(Tasks!$B$2:$B$285,$A34,Tasks!$E$2:$E$285,D$26)</f>
        <v/>
      </c>
      <c r="E34" s="19">
        <f>COUNTIFS(Tasks!$B$2:$B$285,$A34,Tasks!$E$2:$E$285,E$26)</f>
        <v/>
      </c>
      <c r="F34" s="19">
        <f>COUNTIFS(Tasks!$B$2:$B$285,$A34,Tasks!$E$2:$E$285,F$26)</f>
        <v/>
      </c>
      <c r="G34" s="19">
        <f>COUNTIFS(Tasks!$B$2:$B$285,$A34,Tasks!$E$2:$E$285,G$26)</f>
        <v/>
      </c>
      <c r="H34" s="19">
        <f>COUNTIFS(Tasks!$B$2:$B$285,$A34,Tasks!$E$2:$E$285,H$26)</f>
        <v/>
      </c>
      <c r="I34" s="19">
        <f>COUNTIFS(Tasks!$B$2:$B$285,$A34,Tasks!$E$2:$E$285,I$26)</f>
        <v/>
      </c>
      <c r="J34" s="19">
        <f>COUNTIF(Tasks!$B$2:$B$285,$A34)</f>
        <v/>
      </c>
    </row>
    <row r="35">
      <c r="A35" s="19" t="inlineStr">
        <is>
          <t>Approvals</t>
        </is>
      </c>
      <c r="B35" s="19">
        <f>COUNTIFS(Tasks!$B$2:$B$285,$A35,Tasks!$E$2:$E$285,B$26)</f>
        <v/>
      </c>
      <c r="C35" s="19">
        <f>COUNTIFS(Tasks!$B$2:$B$285,$A35,Tasks!$E$2:$E$285,C$26)</f>
        <v/>
      </c>
      <c r="D35" s="19">
        <f>COUNTIFS(Tasks!$B$2:$B$285,$A35,Tasks!$E$2:$E$285,D$26)</f>
        <v/>
      </c>
      <c r="E35" s="19">
        <f>COUNTIFS(Tasks!$B$2:$B$285,$A35,Tasks!$E$2:$E$285,E$26)</f>
        <v/>
      </c>
      <c r="F35" s="19">
        <f>COUNTIFS(Tasks!$B$2:$B$285,$A35,Tasks!$E$2:$E$285,F$26)</f>
        <v/>
      </c>
      <c r="G35" s="19">
        <f>COUNTIFS(Tasks!$B$2:$B$285,$A35,Tasks!$E$2:$E$285,G$26)</f>
        <v/>
      </c>
      <c r="H35" s="19">
        <f>COUNTIFS(Tasks!$B$2:$B$285,$A35,Tasks!$E$2:$E$285,H$26)</f>
        <v/>
      </c>
      <c r="I35" s="19">
        <f>COUNTIFS(Tasks!$B$2:$B$285,$A35,Tasks!$E$2:$E$285,I$26)</f>
        <v/>
      </c>
      <c r="J35" s="19">
        <f>COUNTIF(Tasks!$B$2:$B$285,$A35)</f>
        <v/>
      </c>
    </row>
    <row r="36">
      <c r="A36" s="19" t="inlineStr">
        <is>
          <t>Compliance</t>
        </is>
      </c>
      <c r="B36" s="19">
        <f>COUNTIFS(Tasks!$B$2:$B$285,$A36,Tasks!$E$2:$E$285,B$26)</f>
        <v/>
      </c>
      <c r="C36" s="19">
        <f>COUNTIFS(Tasks!$B$2:$B$285,$A36,Tasks!$E$2:$E$285,C$26)</f>
        <v/>
      </c>
      <c r="D36" s="19">
        <f>COUNTIFS(Tasks!$B$2:$B$285,$A36,Tasks!$E$2:$E$285,D$26)</f>
        <v/>
      </c>
      <c r="E36" s="19">
        <f>COUNTIFS(Tasks!$B$2:$B$285,$A36,Tasks!$E$2:$E$285,E$26)</f>
        <v/>
      </c>
      <c r="F36" s="19">
        <f>COUNTIFS(Tasks!$B$2:$B$285,$A36,Tasks!$E$2:$E$285,F$26)</f>
        <v/>
      </c>
      <c r="G36" s="19">
        <f>COUNTIFS(Tasks!$B$2:$B$285,$A36,Tasks!$E$2:$E$285,G$26)</f>
        <v/>
      </c>
      <c r="H36" s="19">
        <f>COUNTIFS(Tasks!$B$2:$B$285,$A36,Tasks!$E$2:$E$285,H$26)</f>
        <v/>
      </c>
      <c r="I36" s="19">
        <f>COUNTIFS(Tasks!$B$2:$B$285,$A36,Tasks!$E$2:$E$285,I$26)</f>
        <v/>
      </c>
      <c r="J36" s="19">
        <f>COUNTIF(Tasks!$B$2:$B$285,$A36)</f>
        <v/>
      </c>
    </row>
    <row r="37">
      <c r="A37" s="19" t="inlineStr">
        <is>
          <t>Integration</t>
        </is>
      </c>
      <c r="B37" s="19">
        <f>COUNTIFS(Tasks!$B$2:$B$285,$A37,Tasks!$E$2:$E$285,B$26)</f>
        <v/>
      </c>
      <c r="C37" s="19">
        <f>COUNTIFS(Tasks!$B$2:$B$285,$A37,Tasks!$E$2:$E$285,C$26)</f>
        <v/>
      </c>
      <c r="D37" s="19">
        <f>COUNTIFS(Tasks!$B$2:$B$285,$A37,Tasks!$E$2:$E$285,D$26)</f>
        <v/>
      </c>
      <c r="E37" s="19">
        <f>COUNTIFS(Tasks!$B$2:$B$285,$A37,Tasks!$E$2:$E$285,E$26)</f>
        <v/>
      </c>
      <c r="F37" s="19">
        <f>COUNTIFS(Tasks!$B$2:$B$285,$A37,Tasks!$E$2:$E$285,F$26)</f>
        <v/>
      </c>
      <c r="G37" s="19">
        <f>COUNTIFS(Tasks!$B$2:$B$285,$A37,Tasks!$E$2:$E$285,G$26)</f>
        <v/>
      </c>
      <c r="H37" s="19">
        <f>COUNTIFS(Tasks!$B$2:$B$285,$A37,Tasks!$E$2:$E$285,H$26)</f>
        <v/>
      </c>
      <c r="I37" s="19">
        <f>COUNTIFS(Tasks!$B$2:$B$285,$A37,Tasks!$E$2:$E$285,I$26)</f>
        <v/>
      </c>
      <c r="J37" s="19">
        <f>COUNTIF(Tasks!$B$2:$B$285,$A37)</f>
        <v/>
      </c>
    </row>
    <row r="38">
      <c r="A38" s="19" t="inlineStr">
        <is>
          <t>Payroll</t>
        </is>
      </c>
      <c r="B38" s="19">
        <f>COUNTIFS(Tasks!$B$2:$B$285,$A38,Tasks!$E$2:$E$285,B$26)</f>
        <v/>
      </c>
      <c r="C38" s="19">
        <f>COUNTIFS(Tasks!$B$2:$B$285,$A38,Tasks!$E$2:$E$285,C$26)</f>
        <v/>
      </c>
      <c r="D38" s="19">
        <f>COUNTIFS(Tasks!$B$2:$B$285,$A38,Tasks!$E$2:$E$285,D$26)</f>
        <v/>
      </c>
      <c r="E38" s="19">
        <f>COUNTIFS(Tasks!$B$2:$B$285,$A38,Tasks!$E$2:$E$285,E$26)</f>
        <v/>
      </c>
      <c r="F38" s="19">
        <f>COUNTIFS(Tasks!$B$2:$B$285,$A38,Tasks!$E$2:$E$285,F$26)</f>
        <v/>
      </c>
      <c r="G38" s="19">
        <f>COUNTIFS(Tasks!$B$2:$B$285,$A38,Tasks!$E$2:$E$285,G$26)</f>
        <v/>
      </c>
      <c r="H38" s="19">
        <f>COUNTIFS(Tasks!$B$2:$B$285,$A38,Tasks!$E$2:$E$285,H$26)</f>
        <v/>
      </c>
      <c r="I38" s="19">
        <f>COUNTIFS(Tasks!$B$2:$B$285,$A38,Tasks!$E$2:$E$285,I$26)</f>
        <v/>
      </c>
      <c r="J38" s="19">
        <f>COUNTIF(Tasks!$B$2:$B$285,$A38)</f>
        <v/>
      </c>
    </row>
    <row r="39">
      <c r="A39" s="19" t="inlineStr">
        <is>
          <t>Testing</t>
        </is>
      </c>
      <c r="B39" s="19">
        <f>COUNTIFS(Tasks!$B$2:$B$285,$A39,Tasks!$E$2:$E$285,B$26)</f>
        <v/>
      </c>
      <c r="C39" s="19">
        <f>COUNTIFS(Tasks!$B$2:$B$285,$A39,Tasks!$E$2:$E$285,C$26)</f>
        <v/>
      </c>
      <c r="D39" s="19">
        <f>COUNTIFS(Tasks!$B$2:$B$285,$A39,Tasks!$E$2:$E$285,D$26)</f>
        <v/>
      </c>
      <c r="E39" s="19">
        <f>COUNTIFS(Tasks!$B$2:$B$285,$A39,Tasks!$E$2:$E$285,E$26)</f>
        <v/>
      </c>
      <c r="F39" s="19">
        <f>COUNTIFS(Tasks!$B$2:$B$285,$A39,Tasks!$E$2:$E$285,F$26)</f>
        <v/>
      </c>
      <c r="G39" s="19">
        <f>COUNTIFS(Tasks!$B$2:$B$285,$A39,Tasks!$E$2:$E$285,G$26)</f>
        <v/>
      </c>
      <c r="H39" s="19">
        <f>COUNTIFS(Tasks!$B$2:$B$285,$A39,Tasks!$E$2:$E$285,H$26)</f>
        <v/>
      </c>
      <c r="I39" s="19">
        <f>COUNTIFS(Tasks!$B$2:$B$285,$A39,Tasks!$E$2:$E$285,I$26)</f>
        <v/>
      </c>
      <c r="J39" s="19">
        <f>COUNTIF(Tasks!$B$2:$B$285,$A39)</f>
        <v/>
      </c>
    </row>
    <row r="40">
      <c r="A40" s="19" t="inlineStr">
        <is>
          <t>Documentation</t>
        </is>
      </c>
      <c r="B40" s="19">
        <f>COUNTIFS(Tasks!$B$2:$B$285,$A40,Tasks!$E$2:$E$285,B$26)</f>
        <v/>
      </c>
      <c r="C40" s="19">
        <f>COUNTIFS(Tasks!$B$2:$B$285,$A40,Tasks!$E$2:$E$285,C$26)</f>
        <v/>
      </c>
      <c r="D40" s="19">
        <f>COUNTIFS(Tasks!$B$2:$B$285,$A40,Tasks!$E$2:$E$285,D$26)</f>
        <v/>
      </c>
      <c r="E40" s="19">
        <f>COUNTIFS(Tasks!$B$2:$B$285,$A40,Tasks!$E$2:$E$285,E$26)</f>
        <v/>
      </c>
      <c r="F40" s="19">
        <f>COUNTIFS(Tasks!$B$2:$B$285,$A40,Tasks!$E$2:$E$285,F$26)</f>
        <v/>
      </c>
      <c r="G40" s="19">
        <f>COUNTIFS(Tasks!$B$2:$B$285,$A40,Tasks!$E$2:$E$285,G$26)</f>
        <v/>
      </c>
      <c r="H40" s="19">
        <f>COUNTIFS(Tasks!$B$2:$B$285,$A40,Tasks!$E$2:$E$285,H$26)</f>
        <v/>
      </c>
      <c r="I40" s="19">
        <f>COUNTIFS(Tasks!$B$2:$B$285,$A40,Tasks!$E$2:$E$285,I$26)</f>
        <v/>
      </c>
      <c r="J40" s="19">
        <f>COUNTIF(Tasks!$B$2:$B$285,$A40)</f>
        <v/>
      </c>
    </row>
    <row r="41">
      <c r="A41" s="19" t="inlineStr">
        <is>
          <t>Academic presence</t>
        </is>
      </c>
      <c r="B41" s="19">
        <f>COUNTIFS(Tasks!$B$2:$B$285,$A41,Tasks!$E$2:$E$285,B$26)</f>
        <v/>
      </c>
      <c r="C41" s="19">
        <f>COUNTIFS(Tasks!$B$2:$B$285,$A41,Tasks!$E$2:$E$285,C$26)</f>
        <v/>
      </c>
      <c r="D41" s="19">
        <f>COUNTIFS(Tasks!$B$2:$B$285,$A41,Tasks!$E$2:$E$285,D$26)</f>
        <v/>
      </c>
      <c r="E41" s="19">
        <f>COUNTIFS(Tasks!$B$2:$B$285,$A41,Tasks!$E$2:$E$285,E$26)</f>
        <v/>
      </c>
      <c r="F41" s="19">
        <f>COUNTIFS(Tasks!$B$2:$B$285,$A41,Tasks!$E$2:$E$285,F$26)</f>
        <v/>
      </c>
      <c r="G41" s="19">
        <f>COUNTIFS(Tasks!$B$2:$B$285,$A41,Tasks!$E$2:$E$285,G$26)</f>
        <v/>
      </c>
      <c r="H41" s="19">
        <f>COUNTIFS(Tasks!$B$2:$B$285,$A41,Tasks!$E$2:$E$285,H$26)</f>
        <v/>
      </c>
      <c r="I41" s="19">
        <f>COUNTIFS(Tasks!$B$2:$B$285,$A41,Tasks!$E$2:$E$285,I$26)</f>
        <v/>
      </c>
      <c r="J41" s="19">
        <f>COUNTIF(Tasks!$B$2:$B$285,$A41)</f>
        <v/>
      </c>
    </row>
    <row r="42">
      <c r="A42" s="19" t="inlineStr">
        <is>
          <t>Employee master</t>
        </is>
      </c>
      <c r="B42" s="19">
        <f>COUNTIFS(Tasks!$B$2:$B$285,$A42,Tasks!$E$2:$E$285,B$26)</f>
        <v/>
      </c>
      <c r="C42" s="19">
        <f>COUNTIFS(Tasks!$B$2:$B$285,$A42,Tasks!$E$2:$E$285,C$26)</f>
        <v/>
      </c>
      <c r="D42" s="19">
        <f>COUNTIFS(Tasks!$B$2:$B$285,$A42,Tasks!$E$2:$E$285,D$26)</f>
        <v/>
      </c>
      <c r="E42" s="19">
        <f>COUNTIFS(Tasks!$B$2:$B$285,$A42,Tasks!$E$2:$E$285,E$26)</f>
        <v/>
      </c>
      <c r="F42" s="19">
        <f>COUNTIFS(Tasks!$B$2:$B$285,$A42,Tasks!$E$2:$E$285,F$26)</f>
        <v/>
      </c>
      <c r="G42" s="19">
        <f>COUNTIFS(Tasks!$B$2:$B$285,$A42,Tasks!$E$2:$E$285,G$26)</f>
        <v/>
      </c>
      <c r="H42" s="19">
        <f>COUNTIFS(Tasks!$B$2:$B$285,$A42,Tasks!$E$2:$E$285,H$26)</f>
        <v/>
      </c>
      <c r="I42" s="19">
        <f>COUNTIFS(Tasks!$B$2:$B$285,$A42,Tasks!$E$2:$E$285,I$26)</f>
        <v/>
      </c>
      <c r="J42" s="19">
        <f>COUNTIF(Tasks!$B$2:$B$285,$A42)</f>
        <v/>
      </c>
    </row>
    <row r="43">
      <c r="A43" s="19" t="inlineStr">
        <is>
          <t>Requests</t>
        </is>
      </c>
      <c r="B43" s="19">
        <f>COUNTIFS(Tasks!$B$2:$B$285,$A43,Tasks!$E$2:$E$285,B$26)</f>
        <v/>
      </c>
      <c r="C43" s="19">
        <f>COUNTIFS(Tasks!$B$2:$B$285,$A43,Tasks!$E$2:$E$285,C$26)</f>
        <v/>
      </c>
      <c r="D43" s="19">
        <f>COUNTIFS(Tasks!$B$2:$B$285,$A43,Tasks!$E$2:$E$285,D$26)</f>
        <v/>
      </c>
      <c r="E43" s="19">
        <f>COUNTIFS(Tasks!$B$2:$B$285,$A43,Tasks!$E$2:$E$285,E$26)</f>
        <v/>
      </c>
      <c r="F43" s="19">
        <f>COUNTIFS(Tasks!$B$2:$B$285,$A43,Tasks!$E$2:$E$285,F$26)</f>
        <v/>
      </c>
      <c r="G43" s="19">
        <f>COUNTIFS(Tasks!$B$2:$B$285,$A43,Tasks!$E$2:$E$285,G$26)</f>
        <v/>
      </c>
      <c r="H43" s="19">
        <f>COUNTIFS(Tasks!$B$2:$B$285,$A43,Tasks!$E$2:$E$285,H$26)</f>
        <v/>
      </c>
      <c r="I43" s="19">
        <f>COUNTIFS(Tasks!$B$2:$B$285,$A43,Tasks!$E$2:$E$285,I$26)</f>
        <v/>
      </c>
      <c r="J43" s="19">
        <f>COUNTIF(Tasks!$B$2:$B$285,$A43)</f>
        <v/>
      </c>
    </row>
    <row r="44">
      <c r="A44" s="19" t="inlineStr">
        <is>
          <t>Navigation</t>
        </is>
      </c>
      <c r="B44" s="19">
        <f>COUNTIFS(Tasks!$B$2:$B$285,$A44,Tasks!$E$2:$E$285,B$26)</f>
        <v/>
      </c>
      <c r="C44" s="19">
        <f>COUNTIFS(Tasks!$B$2:$B$285,$A44,Tasks!$E$2:$E$285,C$26)</f>
        <v/>
      </c>
      <c r="D44" s="19">
        <f>COUNTIFS(Tasks!$B$2:$B$285,$A44,Tasks!$E$2:$E$285,D$26)</f>
        <v/>
      </c>
      <c r="E44" s="19">
        <f>COUNTIFS(Tasks!$B$2:$B$285,$A44,Tasks!$E$2:$E$285,E$26)</f>
        <v/>
      </c>
      <c r="F44" s="19">
        <f>COUNTIFS(Tasks!$B$2:$B$285,$A44,Tasks!$E$2:$E$285,F$26)</f>
        <v/>
      </c>
      <c r="G44" s="19">
        <f>COUNTIFS(Tasks!$B$2:$B$285,$A44,Tasks!$E$2:$E$285,G$26)</f>
        <v/>
      </c>
      <c r="H44" s="19">
        <f>COUNTIFS(Tasks!$B$2:$B$285,$A44,Tasks!$E$2:$E$285,H$26)</f>
        <v/>
      </c>
      <c r="I44" s="19">
        <f>COUNTIFS(Tasks!$B$2:$B$285,$A44,Tasks!$E$2:$E$285,I$26)</f>
        <v/>
      </c>
      <c r="J44" s="19">
        <f>COUNTIF(Tasks!$B$2:$B$285,$A44)</f>
        <v/>
      </c>
    </row>
    <row r="45">
      <c r="A45" s="19" t="inlineStr">
        <is>
          <t>Infrastructure</t>
        </is>
      </c>
      <c r="B45" s="19">
        <f>COUNTIFS(Tasks!$B$2:$B$285,$A45,Tasks!$E$2:$E$285,B$26)</f>
        <v/>
      </c>
      <c r="C45" s="19">
        <f>COUNTIFS(Tasks!$B$2:$B$285,$A45,Tasks!$E$2:$E$285,C$26)</f>
        <v/>
      </c>
      <c r="D45" s="19">
        <f>COUNTIFS(Tasks!$B$2:$B$285,$A45,Tasks!$E$2:$E$285,D$26)</f>
        <v/>
      </c>
      <c r="E45" s="19">
        <f>COUNTIFS(Tasks!$B$2:$B$285,$A45,Tasks!$E$2:$E$285,E$26)</f>
        <v/>
      </c>
      <c r="F45" s="19">
        <f>COUNTIFS(Tasks!$B$2:$B$285,$A45,Tasks!$E$2:$E$285,F$26)</f>
        <v/>
      </c>
      <c r="G45" s="19">
        <f>COUNTIFS(Tasks!$B$2:$B$285,$A45,Tasks!$E$2:$E$285,G$26)</f>
        <v/>
      </c>
      <c r="H45" s="19">
        <f>COUNTIFS(Tasks!$B$2:$B$285,$A45,Tasks!$E$2:$E$285,H$26)</f>
        <v/>
      </c>
      <c r="I45" s="19">
        <f>COUNTIFS(Tasks!$B$2:$B$285,$A45,Tasks!$E$2:$E$285,I$26)</f>
        <v/>
      </c>
      <c r="J45" s="19">
        <f>COUNTIF(Tasks!$B$2:$B$285,$A45)</f>
        <v/>
      </c>
    </row>
    <row r="46">
      <c r="A46" s="19" t="inlineStr">
        <is>
          <t>Data</t>
        </is>
      </c>
      <c r="B46" s="19">
        <f>COUNTIFS(Tasks!$B$2:$B$285,$A46,Tasks!$E$2:$E$285,B$26)</f>
        <v/>
      </c>
      <c r="C46" s="19">
        <f>COUNTIFS(Tasks!$B$2:$B$285,$A46,Tasks!$E$2:$E$285,C$26)</f>
        <v/>
      </c>
      <c r="D46" s="19">
        <f>COUNTIFS(Tasks!$B$2:$B$285,$A46,Tasks!$E$2:$E$285,D$26)</f>
        <v/>
      </c>
      <c r="E46" s="19">
        <f>COUNTIFS(Tasks!$B$2:$B$285,$A46,Tasks!$E$2:$E$285,E$26)</f>
        <v/>
      </c>
      <c r="F46" s="19">
        <f>COUNTIFS(Tasks!$B$2:$B$285,$A46,Tasks!$E$2:$E$285,F$26)</f>
        <v/>
      </c>
      <c r="G46" s="19">
        <f>COUNTIFS(Tasks!$B$2:$B$285,$A46,Tasks!$E$2:$E$285,G$26)</f>
        <v/>
      </c>
      <c r="H46" s="19">
        <f>COUNTIFS(Tasks!$B$2:$B$285,$A46,Tasks!$E$2:$E$285,H$26)</f>
        <v/>
      </c>
      <c r="I46" s="19">
        <f>COUNTIFS(Tasks!$B$2:$B$285,$A46,Tasks!$E$2:$E$285,I$26)</f>
        <v/>
      </c>
      <c r="J46" s="19">
        <f>COUNTIF(Tasks!$B$2:$B$285,$A46)</f>
        <v/>
      </c>
    </row>
    <row r="47">
      <c r="A47" s="19" t="inlineStr">
        <is>
          <t>Deployment</t>
        </is>
      </c>
      <c r="B47" s="19">
        <f>COUNTIFS(Tasks!$B$2:$B$285,$A47,Tasks!$E$2:$E$285,B$26)</f>
        <v/>
      </c>
      <c r="C47" s="19">
        <f>COUNTIFS(Tasks!$B$2:$B$285,$A47,Tasks!$E$2:$E$285,C$26)</f>
        <v/>
      </c>
      <c r="D47" s="19">
        <f>COUNTIFS(Tasks!$B$2:$B$285,$A47,Tasks!$E$2:$E$285,D$26)</f>
        <v/>
      </c>
      <c r="E47" s="19">
        <f>COUNTIFS(Tasks!$B$2:$B$285,$A47,Tasks!$E$2:$E$285,E$26)</f>
        <v/>
      </c>
      <c r="F47" s="19">
        <f>COUNTIFS(Tasks!$B$2:$B$285,$A47,Tasks!$E$2:$E$285,F$26)</f>
        <v/>
      </c>
      <c r="G47" s="19">
        <f>COUNTIFS(Tasks!$B$2:$B$285,$A47,Tasks!$E$2:$E$285,G$26)</f>
        <v/>
      </c>
      <c r="H47" s="19">
        <f>COUNTIFS(Tasks!$B$2:$B$285,$A47,Tasks!$E$2:$E$285,H$26)</f>
        <v/>
      </c>
      <c r="I47" s="19">
        <f>COUNTIFS(Tasks!$B$2:$B$285,$A47,Tasks!$E$2:$E$285,I$26)</f>
        <v/>
      </c>
      <c r="J47" s="19">
        <f>COUNTIF(Tasks!$B$2:$B$285,$A47)</f>
        <v/>
      </c>
    </row>
    <row r="48">
      <c r="A48" s="19" t="inlineStr">
        <is>
          <t>Jameah</t>
        </is>
      </c>
      <c r="B48" s="19">
        <f>COUNTIFS(Tasks!$B$2:$B$285,$A48,Tasks!$E$2:$E$285,B$26)</f>
        <v/>
      </c>
      <c r="C48" s="19">
        <f>COUNTIFS(Tasks!$B$2:$B$285,$A48,Tasks!$E$2:$E$285,C$26)</f>
        <v/>
      </c>
      <c r="D48" s="19">
        <f>COUNTIFS(Tasks!$B$2:$B$285,$A48,Tasks!$E$2:$E$285,D$26)</f>
        <v/>
      </c>
      <c r="E48" s="19">
        <f>COUNTIFS(Tasks!$B$2:$B$285,$A48,Tasks!$E$2:$E$285,E$26)</f>
        <v/>
      </c>
      <c r="F48" s="19">
        <f>COUNTIFS(Tasks!$B$2:$B$285,$A48,Tasks!$E$2:$E$285,F$26)</f>
        <v/>
      </c>
      <c r="G48" s="19">
        <f>COUNTIFS(Tasks!$B$2:$B$285,$A48,Tasks!$E$2:$E$285,G$26)</f>
        <v/>
      </c>
      <c r="H48" s="19">
        <f>COUNTIFS(Tasks!$B$2:$B$285,$A48,Tasks!$E$2:$E$285,H$26)</f>
        <v/>
      </c>
      <c r="I48" s="19">
        <f>COUNTIFS(Tasks!$B$2:$B$285,$A48,Tasks!$E$2:$E$285,I$26)</f>
        <v/>
      </c>
      <c r="J48" s="19">
        <f>COUNTIF(Tasks!$B$2:$B$285,$A48)</f>
        <v/>
      </c>
    </row>
    <row r="49"/>
    <row r="50">
      <c r="A50" s="17" t="inlineStr">
        <is>
          <t>Bugs</t>
        </is>
      </c>
      <c r="B50" s="17" t="inlineStr">
        <is>
          <t>Count</t>
        </is>
      </c>
    </row>
    <row r="51">
      <c r="A51" s="18" t="inlineStr">
        <is>
          <t>Fixed</t>
        </is>
      </c>
      <c r="B51" s="19">
        <f>COUNTIF(Bugs!$H$2:$H$135,A51)</f>
        <v/>
      </c>
    </row>
    <row r="52">
      <c r="A52" s="28" t="inlineStr">
        <is>
          <t>Open</t>
        </is>
      </c>
      <c r="B52" s="19">
        <f>COUNTIF(Bugs!$H$2:$H$135,A52)</f>
        <v/>
      </c>
    </row>
    <row r="53">
      <c r="A53" s="25" t="inlineStr">
        <is>
          <t>Open – other team</t>
        </is>
      </c>
      <c r="B53" s="19">
        <f>COUNTIF(Bugs!$H$2:$H$135,A53)</f>
        <v/>
      </c>
    </row>
    <row r="54">
      <c r="A54" s="23" t="inlineStr">
        <is>
          <t>Open – check server</t>
        </is>
      </c>
      <c r="B54" s="19">
        <f>COUNTIF(Bugs!$H$2:$H$135,A54)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42" customWidth="1" min="3" max="3"/>
    <col width="16" customWidth="1" min="4" max="4"/>
    <col width="22" customWidth="1" min="5" max="5"/>
    <col width="20" customWidth="1" min="6" max="6"/>
    <col width="9" customWidth="1" min="7" max="7"/>
    <col width="60" customWidth="1" min="8" max="8"/>
    <col width="50" customWidth="1" min="9" max="9"/>
    <col width="28" customWidth="1" min="10" max="10"/>
  </cols>
  <sheetData>
    <row r="1" ht="30" customHeight="1">
      <c r="A1" s="17" t="inlineStr">
        <is>
          <t>ID</t>
        </is>
      </c>
      <c r="B1" s="17" t="inlineStr">
        <is>
          <t>Workstream</t>
        </is>
      </c>
      <c r="C1" s="17" t="inlineStr">
        <is>
          <t>Task</t>
        </is>
      </c>
      <c r="D1" s="17" t="inlineStr">
        <is>
          <t>When done</t>
        </is>
      </c>
      <c r="E1" s="17" t="inlineStr">
        <is>
          <t>Status</t>
        </is>
      </c>
      <c r="F1" s="17" t="inlineStr">
        <is>
          <t>Owner</t>
        </is>
      </c>
      <c r="G1" s="17" t="inlineStr">
        <is>
          <t>Priority</t>
        </is>
      </c>
      <c r="H1" s="17" t="inlineStr">
        <is>
          <t>Done so far / evidence</t>
        </is>
      </c>
      <c r="I1" s="17" t="inlineStr">
        <is>
          <t>Next step / pending</t>
        </is>
      </c>
      <c r="J1" s="17" t="inlineStr">
        <is>
          <t>Reference (commit / file)</t>
        </is>
      </c>
    </row>
    <row r="2">
      <c r="A2" s="29" t="inlineStr">
        <is>
          <t>HR-01</t>
        </is>
      </c>
      <c r="B2" s="30" t="inlineStr">
        <is>
          <t>Foundation</t>
        </is>
      </c>
      <c r="C2" s="31" t="inlineStr">
        <is>
          <t>Custom Medical HRMS app and setup scripts</t>
        </is>
      </c>
      <c r="D2" s="30" t="inlineStr">
        <is>
          <t>Earlier (May – 5 Oct 2026)</t>
        </is>
      </c>
      <c r="E2" s="30" t="inlineStr">
        <is>
          <t>Done</t>
        </is>
      </c>
      <c r="F2" s="30" t="inlineStr">
        <is>
          <t>Abdul Hakeem</t>
        </is>
      </c>
      <c r="G2" s="30" t="inlineStr">
        <is>
          <t>Medium</t>
        </is>
      </c>
      <c r="H2" s="31" t="inlineStr">
        <is>
          <t>App, setup scripts and migration hooks exist. Migration re-run several times on 19–21 Oct without errors or duplicates; Ministry fields, permissions and Jameah views are created on every migrate.</t>
        </is>
      </c>
      <c r="I2" s="31" t="inlineStr">
        <is>
          <t>Run the same migration once on the production server.</t>
        </is>
      </c>
      <c r="J2" s="31" t="inlineStr">
        <is>
          <t>hooks.py; patches.txt</t>
        </is>
      </c>
    </row>
    <row r="3">
      <c r="A3" s="29" t="inlineStr">
        <is>
          <t>HR-02</t>
        </is>
      </c>
      <c r="B3" s="30" t="inlineStr">
        <is>
          <t>Master data</t>
        </is>
      </c>
      <c r="C3" s="31" t="inlineStr">
        <is>
          <t>Ministry lookup codes and validation</t>
        </is>
      </c>
      <c r="D3" s="30" t="inlineStr">
        <is>
          <t>19 Oct 2026</t>
        </is>
      </c>
      <c r="E3" s="30" t="inlineStr">
        <is>
          <t>Done</t>
        </is>
      </c>
      <c r="F3" s="30" t="inlineStr">
        <is>
          <t>Abdul Hakeem</t>
        </is>
      </c>
      <c r="G3" s="30" t="inlineStr">
        <is>
          <t>High</t>
        </is>
      </c>
      <c r="H3" s="31" t="inlineStr">
        <is>
          <t>9,867 Ministry codes loaded from the Arabic and Translated workbooks, every code with Arabic and English names (before: 8,330 showed the code as their name). Loaded automatically on migrate. Demo codes remapped and removed.</t>
        </is>
      </c>
      <c r="I3" s="31" t="inlineStr">
        <is>
          <t>None.</t>
        </is>
      </c>
      <c r="J3" s="31" t="inlineStr">
        <is>
          <t>277442b; ministry_codes.py; data/ministry_codes.csv</t>
        </is>
      </c>
    </row>
    <row r="4">
      <c r="A4" s="29" t="inlineStr">
        <is>
          <t>HR-03</t>
        </is>
      </c>
      <c r="B4" s="30" t="inlineStr">
        <is>
          <t>Master data</t>
        </is>
      </c>
      <c r="C4" s="31" t="inlineStr">
        <is>
          <t>Institute hierarchy and facility records</t>
        </is>
      </c>
      <c r="D4" s="30" t="inlineStr">
        <is>
          <t>Earlier (May – 5 Oct 2026)</t>
        </is>
      </c>
      <c r="E4" s="30" t="inlineStr">
        <is>
          <t>Pending – data / setup</t>
        </is>
      </c>
      <c r="F4" s="30" t="inlineStr">
        <is>
          <t>HR</t>
        </is>
      </c>
      <c r="G4" s="30" t="inlineStr">
        <is>
          <t>Medium</t>
        </is>
      </c>
      <c r="H4" s="31" t="inlineStr">
        <is>
          <t>Branch, Agency, Deanery, College, Academic Department and Facility doctypes exist and are linked to Employee/Instructor.</t>
        </is>
      </c>
      <c r="I4" s="31" t="inlineStr">
        <is>
          <t>HR to enter the real hierarchy and confirm employee placement.</t>
        </is>
      </c>
      <c r="J4" s="31" t="inlineStr">
        <is>
          <t>create_institute_doctypes.py; create_facility_doctype.py</t>
        </is>
      </c>
    </row>
    <row r="5">
      <c r="A5" s="29" t="inlineStr">
        <is>
          <t>HR-04</t>
        </is>
      </c>
      <c r="B5" s="30" t="inlineStr">
        <is>
          <t>Registration</t>
        </is>
      </c>
      <c r="C5" s="31" t="inlineStr">
        <is>
          <t>Job-level setup</t>
        </is>
      </c>
      <c r="D5" s="30" t="inlineStr">
        <is>
          <t>Earlier (May – 5 Oct 2026)</t>
        </is>
      </c>
      <c r="E5" s="30" t="inlineStr">
        <is>
          <t>In progress</t>
        </is>
      </c>
      <c r="F5" s="30" t="inlineStr">
        <is>
          <t>Dinesh</t>
        </is>
      </c>
      <c r="G5" s="30" t="inlineStr">
        <is>
          <t>Medium</t>
        </is>
      </c>
      <c r="H5" s="31" t="inlineStr">
        <is>
          <t>Work started by Dinesh (commits 2–5 Oct).</t>
        </is>
      </c>
      <c r="I5" s="31" t="inlineStr">
        <is>
          <t>Dinesh to confirm scope done and what remains.</t>
        </is>
      </c>
      <c r="J5" s="31" t="inlineStr">
        <is>
          <t>HRM_TASK_TRACKER.md</t>
        </is>
      </c>
    </row>
    <row r="6">
      <c r="A6" s="29" t="inlineStr">
        <is>
          <t>HR-05</t>
        </is>
      </c>
      <c r="B6" s="30" t="inlineStr">
        <is>
          <t>Registration</t>
        </is>
      </c>
      <c r="C6" s="31" t="inlineStr">
        <is>
          <t>Employee registration</t>
        </is>
      </c>
      <c r="D6" s="30" t="inlineStr">
        <is>
          <t>19 Oct 2026</t>
        </is>
      </c>
      <c r="E6" s="30" t="inlineStr">
        <is>
          <t>In progress</t>
        </is>
      </c>
      <c r="F6" s="30" t="inlineStr">
        <is>
          <t>Dinesh / Abdul Hakeem</t>
        </is>
      </c>
      <c r="G6" s="30" t="inlineStr">
        <is>
          <t>High</t>
        </is>
      </c>
      <c r="H6" s="31" t="inlineStr">
        <is>
          <t>Ministry identity rules added (national ID 10 digits starting 1 for Saudis, Iqama 10 digits starting 2) and duplicates blocked (same identity number, home ID or job number). Mandatory Ministry fields enforced on save.</t>
        </is>
      </c>
      <c r="I6" s="31" t="inlineStr">
        <is>
          <t>Dinesh to confirm remaining registration scope; complete EMP-00001 demo record (HR-53).</t>
        </is>
      </c>
      <c r="J6" s="31" t="inlineStr">
        <is>
          <t>1f88c78; ministry_lookup_validation.py</t>
        </is>
      </c>
    </row>
    <row r="7">
      <c r="A7" s="29" t="inlineStr">
        <is>
          <t>HR-06</t>
        </is>
      </c>
      <c r="B7" s="30" t="inlineStr">
        <is>
          <t>Recruitment</t>
        </is>
      </c>
      <c r="C7" s="31" t="inlineStr">
        <is>
          <t>Job Applicant to Employee transfer</t>
        </is>
      </c>
      <c r="D7" s="30" t="inlineStr">
        <is>
          <t>19 Oct 2026</t>
        </is>
      </c>
      <c r="E7" s="30" t="inlineStr">
        <is>
          <t>Done – client UAT pending</t>
        </is>
      </c>
      <c r="F7" s="30" t="inlineStr">
        <is>
          <t>Abdul Hakeem / Dinesh</t>
        </is>
      </c>
      <c r="G7" s="30" t="inlineStr">
        <is>
          <t>High</t>
        </is>
      </c>
      <c r="H7" s="31" t="inlineStr">
        <is>
          <t>Public application form -&gt; Accept -&gt; Create Employee tested in the browser on 19, 20 and 21 Oct. Creates Employee, login, Instructor / Academic Advisor / HOD records by role. Lost fields fixed on 20 Oct (HR-44).</t>
        </is>
      </c>
      <c r="I7" s="31" t="inlineStr">
        <is>
          <t>HR to run one real hire on the test site.</t>
        </is>
      </c>
      <c r="J7" s="31" t="inlineStr">
        <is>
          <t>job_application.py; 8390598</t>
        </is>
      </c>
    </row>
    <row r="8">
      <c r="A8" s="29" t="inlineStr">
        <is>
          <t>HR-07</t>
        </is>
      </c>
      <c r="B8" s="30" t="inlineStr">
        <is>
          <t>Registration</t>
        </is>
      </c>
      <c r="C8" s="31" t="inlineStr">
        <is>
          <t>Qualifications, experience and Ministry profile fields</t>
        </is>
      </c>
      <c r="D8" s="30" t="inlineStr">
        <is>
          <t>20 Oct 2026</t>
        </is>
      </c>
      <c r="E8" s="30" t="inlineStr">
        <is>
          <t>Done</t>
        </is>
      </c>
      <c r="F8" s="30" t="inlineStr">
        <is>
          <t>Abdul Hakeem</t>
        </is>
      </c>
      <c r="G8" s="30" t="inlineStr">
        <is>
          <t>High</t>
        </is>
      </c>
      <c r="H8" s="31" t="inlineStr">
        <is>
          <t>Jameah child tables (qualifications, academic experience, previous experience, training, awards, publications) on Employee. 'Appreciation' fixed to use the Ministry grade list on 20 Oct. These feed the Jameah Employee views.</t>
        </is>
      </c>
      <c r="I8" s="31" t="inlineStr">
        <is>
          <t>None.</t>
        </is>
      </c>
      <c r="J8" s="31" t="inlineStr">
        <is>
          <t>setup_employee_ministry_expected_fields.py; d690cb7</t>
        </is>
      </c>
    </row>
    <row r="9">
      <c r="A9" s="29" t="inlineStr">
        <is>
          <t>HR-08</t>
        </is>
      </c>
      <c r="B9" s="30" t="inlineStr">
        <is>
          <t>HR dashboard</t>
        </is>
      </c>
      <c r="C9" s="31" t="inlineStr">
        <is>
          <t>HR dashboard and leave-management shortcuts</t>
        </is>
      </c>
      <c r="D9" s="30" t="inlineStr">
        <is>
          <t>20 Oct 2026</t>
        </is>
      </c>
      <c r="E9" s="30" t="inlineStr">
        <is>
          <t>Done – client UAT pending</t>
        </is>
      </c>
      <c r="F9" s="30" t="inlineStr">
        <is>
          <t>Abdul Hakeem</t>
        </is>
      </c>
      <c r="G9" s="30" t="inlineStr">
        <is>
          <t>High</t>
        </is>
      </c>
      <c r="H9" s="31" t="inlineStr">
        <is>
          <t>Every dashboard link opens without an error (browser test HRD-03, 21 Oct). Counts fixed on 19 Oct. Academic Presence and Jameah sections added.</t>
        </is>
      </c>
      <c r="I9" s="31" t="inlineStr">
        <is>
          <t>HR UAT.</t>
        </is>
      </c>
      <c r="J9" s="31" t="inlineStr">
        <is>
          <t>page/hr_dashboard</t>
        </is>
      </c>
    </row>
    <row r="10">
      <c r="A10" s="29" t="inlineStr">
        <is>
          <t>HR-09</t>
        </is>
      </c>
      <c r="B10" s="30" t="inlineStr">
        <is>
          <t>Self-service</t>
        </is>
      </c>
      <c r="C10" s="31" t="inlineStr">
        <is>
          <t>Employee self-service dashboard</t>
        </is>
      </c>
      <c r="D10" s="30" t="inlineStr">
        <is>
          <t>20 Oct 2026</t>
        </is>
      </c>
      <c r="E10" s="30" t="inlineStr">
        <is>
          <t>Done – client UAT pending</t>
        </is>
      </c>
      <c r="F10" s="30" t="inlineStr">
        <is>
          <t>Abdul Hakeem</t>
        </is>
      </c>
      <c r="G10" s="30" t="inlineStr">
        <is>
          <t>High</t>
        </is>
      </c>
      <c r="H10" s="31" t="inlineStr">
        <is>
          <t>All 10 request types, leave request, details view and counters tested in the browser (ESS-01..17).</t>
        </is>
      </c>
      <c r="I10" s="31" t="inlineStr">
        <is>
          <t>Employee UAT, including on a phone.</t>
        </is>
      </c>
      <c r="J10" s="31" t="inlineStr">
        <is>
          <t>page/employee_dashboard</t>
        </is>
      </c>
    </row>
    <row r="11">
      <c r="A11" s="29" t="inlineStr">
        <is>
          <t>HR-10</t>
        </is>
      </c>
      <c r="B11" s="30" t="inlineStr">
        <is>
          <t>HR dashboard</t>
        </is>
      </c>
      <c r="C11" s="31" t="inlineStr">
        <is>
          <t>Custom workspace styling</t>
        </is>
      </c>
      <c r="D11" s="30" t="inlineStr">
        <is>
          <t>Earlier (May – 5 Oct 2026)</t>
        </is>
      </c>
      <c r="E11" s="30" t="inlineStr">
        <is>
          <t>Done – client UAT pending</t>
        </is>
      </c>
      <c r="F11" s="30" t="inlineStr">
        <is>
          <t>Abdul Hakeem</t>
        </is>
      </c>
      <c r="G11" s="30" t="inlineStr">
        <is>
          <t>Low</t>
        </is>
      </c>
      <c r="H11" s="31" t="inlineStr">
        <is>
          <t>Workspace renders (browser test HRD-04).</t>
        </is>
      </c>
      <c r="I11" s="31" t="inlineStr">
        <is>
          <t>Check long labels and mobile layout during UAT.</t>
        </is>
      </c>
      <c r="J11" s="31" t="inlineStr">
        <is>
          <t>public/css/workspace_theme.css</t>
        </is>
      </c>
    </row>
    <row r="12">
      <c r="A12" s="29" t="inlineStr">
        <is>
          <t>HR-11</t>
        </is>
      </c>
      <c r="B12" s="30" t="inlineStr">
        <is>
          <t>Self-service</t>
        </is>
      </c>
      <c r="C12" s="31" t="inlineStr">
        <is>
          <t>Self-service in Instructor, HOD and other staff dashboards</t>
        </is>
      </c>
      <c r="D12" s="30" t="inlineStr">
        <is>
          <t>—</t>
        </is>
      </c>
      <c r="E12" s="30" t="inlineStr">
        <is>
          <t>Planned</t>
        </is>
      </c>
      <c r="F12" s="30" t="inlineStr">
        <is>
          <t>Abdul Hakeem + Education team</t>
        </is>
      </c>
      <c r="G12" s="30" t="inlineStr">
        <is>
          <t>High</t>
        </is>
      </c>
      <c r="H12" s="31" t="inlineStr">
        <is>
          <t>Not started. Instructors with an Employee record can already use /app/employee-dashboard.</t>
        </is>
      </c>
      <c r="I12" s="31" t="inlineStr">
        <is>
          <t>Add the request and leave cards to the Education dashboards (needs the Education team).</t>
        </is>
      </c>
      <c r="J12" s="31" t="inlineStr">
        <is>
          <t>HRM_TASK_TRACKER.md</t>
        </is>
      </c>
    </row>
    <row r="13">
      <c r="A13" s="29" t="inlineStr">
        <is>
          <t>HR-12</t>
        </is>
      </c>
      <c r="B13" s="30" t="inlineStr">
        <is>
          <t>Security</t>
        </is>
      </c>
      <c r="C13" s="31" t="inlineStr">
        <is>
          <t>HR roles, workspace visibility and login routing</t>
        </is>
      </c>
      <c r="D13" s="30" t="inlineStr">
        <is>
          <t>21 Oct 2026</t>
        </is>
      </c>
      <c r="E13" s="30" t="inlineStr">
        <is>
          <t>Done</t>
        </is>
      </c>
      <c r="F13" s="30" t="inlineStr">
        <is>
          <t>Abdul Hakeem</t>
        </is>
      </c>
      <c r="G13" s="30" t="inlineStr">
        <is>
          <t>High</t>
        </is>
      </c>
      <c r="H13" s="31" t="inlineStr">
        <is>
          <t>HR Manager / HR User now land on the HR Dashboard after login, employees on the Employee Dashboard; users with an Education dashboard keep it (fix 21 Oct, browser-tested).</t>
        </is>
      </c>
      <c r="I13" s="31" t="inlineStr">
        <is>
          <t>Deploy (HR-58).</t>
        </is>
      </c>
      <c r="J13" s="31" t="inlineStr">
        <is>
          <t>1ee80cd; login_redirect.py</t>
        </is>
      </c>
    </row>
    <row r="14">
      <c r="A14" s="29" t="inlineStr">
        <is>
          <t>HR-13</t>
        </is>
      </c>
      <c r="B14" s="30" t="inlineStr">
        <is>
          <t>Security</t>
        </is>
      </c>
      <c r="C14" s="31" t="inlineStr">
        <is>
          <t>Own-record access and protected employee identity</t>
        </is>
      </c>
      <c r="D14" s="30" t="inlineStr">
        <is>
          <t>20 Oct 2026</t>
        </is>
      </c>
      <c r="E14" s="30" t="inlineStr">
        <is>
          <t>Done</t>
        </is>
      </c>
      <c r="F14" s="30" t="inlineStr">
        <is>
          <t>Abdul Hakeem</t>
        </is>
      </c>
      <c r="G14" s="30" t="inlineStr">
        <is>
          <t>High</t>
        </is>
      </c>
      <c r="H14" s="31" t="inlineStr">
        <is>
          <t>12 security tests pass (SEC-01..12): employees see only their own requests, records, licences and files; cannot approve, spoof or file HR-only requests.</t>
        </is>
      </c>
      <c r="I14" s="31" t="inlineStr">
        <is>
          <t>None.</t>
        </is>
      </c>
      <c r="J14" s="31" t="inlineStr">
        <is>
          <t>employee_permissions.py; self_service.py</t>
        </is>
      </c>
    </row>
    <row r="15">
      <c r="A15" s="29" t="inlineStr">
        <is>
          <t>HR-14</t>
        </is>
      </c>
      <c r="B15" s="30" t="inlineStr">
        <is>
          <t>Self-service</t>
        </is>
      </c>
      <c r="C15" s="31" t="inlineStr">
        <is>
          <t>Customized employee request forms</t>
        </is>
      </c>
      <c r="D15" s="30" t="inlineStr">
        <is>
          <t>20 Oct 2026</t>
        </is>
      </c>
      <c r="E15" s="30" t="inlineStr">
        <is>
          <t>Done – client UAT pending</t>
        </is>
      </c>
      <c r="F15" s="30" t="inlineStr">
        <is>
          <t>Abdul Hakeem</t>
        </is>
      </c>
      <c r="G15" s="30" t="inlineStr">
        <is>
          <t>High</t>
        </is>
      </c>
      <c r="H15" s="31" t="inlineStr">
        <is>
          <t>Each form's required fields, private attachment upload and sending tested in the browser.</t>
        </is>
      </c>
      <c r="I15" s="31" t="inlineStr">
        <is>
          <t>HR UAT of the wording on each form.</t>
        </is>
      </c>
      <c r="J15" s="31" t="inlineStr">
        <is>
          <t>self_service.py</t>
        </is>
      </c>
    </row>
    <row r="16">
      <c r="A16" s="29" t="inlineStr">
        <is>
          <t>HR-15</t>
        </is>
      </c>
      <c r="B16" s="30" t="inlineStr">
        <is>
          <t>Self-service</t>
        </is>
      </c>
      <c r="C16" s="31" t="inlineStr">
        <is>
          <t>Request details and easier time selection</t>
        </is>
      </c>
      <c r="D16" s="30" t="inlineStr">
        <is>
          <t>20 Oct 2026</t>
        </is>
      </c>
      <c r="E16" s="30" t="inlineStr">
        <is>
          <t>Done</t>
        </is>
      </c>
      <c r="F16" s="30" t="inlineStr">
        <is>
          <t>Abdul Hakeem</t>
        </is>
      </c>
      <c r="G16" s="30" t="inlineStr">
        <is>
          <t>Medium</t>
        </is>
      </c>
      <c r="H16" s="31" t="inlineStr">
        <is>
          <t>Hour/minute/AM-PM picker saves correct times (10:15–11:45 test); incomplete time refused; details dialog shows saved values.</t>
        </is>
      </c>
      <c r="I16" s="31" t="inlineStr">
        <is>
          <t>None.</t>
        </is>
      </c>
      <c r="J16" s="31" t="inlineStr">
        <is>
          <t>employee_dashboard.js</t>
        </is>
      </c>
    </row>
    <row r="17">
      <c r="A17" s="29" t="inlineStr">
        <is>
          <t>HR-16</t>
        </is>
      </c>
      <c r="B17" s="30" t="inlineStr">
        <is>
          <t>Self-service</t>
        </is>
      </c>
      <c r="C17" s="31" t="inlineStr">
        <is>
          <t>Resume drafts and resubmit rejected requests</t>
        </is>
      </c>
      <c r="D17" s="30" t="inlineStr">
        <is>
          <t>—</t>
        </is>
      </c>
      <c r="E17" s="30" t="inlineStr">
        <is>
          <t>Pending – development</t>
        </is>
      </c>
      <c r="F17" s="30" t="inlineStr">
        <is>
          <t>Abdul Hakeem</t>
        </is>
      </c>
      <c r="G17" s="30" t="inlineStr">
        <is>
          <t>Medium</t>
        </is>
      </c>
      <c r="H17" s="31" t="inlineStr">
        <is>
          <t>Drafts can be saved; employees cannot edit sent requests.</t>
        </is>
      </c>
      <c r="I17" s="31" t="inlineStr">
        <is>
          <t>Let employees open their draft and send it; allow resubmitting a rejected request as a new one with history.</t>
        </is>
      </c>
      <c r="J17" s="31" t="inlineStr">
        <is>
          <t>HRM_UAT_SCENARIOS.md #3</t>
        </is>
      </c>
    </row>
    <row r="18">
      <c r="A18" s="29" t="inlineStr">
        <is>
          <t>HR-17</t>
        </is>
      </c>
      <c r="B18" s="30" t="inlineStr">
        <is>
          <t>Self-service</t>
        </is>
      </c>
      <c r="C18" s="31" t="inlineStr">
        <is>
          <t>Employee data correction: approval and apply to Employee</t>
        </is>
      </c>
      <c r="D18" s="30" t="inlineStr">
        <is>
          <t>—</t>
        </is>
      </c>
      <c r="E18" s="30" t="inlineStr">
        <is>
          <t>Pending – development</t>
        </is>
      </c>
      <c r="F18" s="30" t="inlineStr">
        <is>
          <t>Abdul Hakeem + HR</t>
        </is>
      </c>
      <c r="G18" s="30" t="inlineStr">
        <is>
          <t>Medium</t>
        </is>
      </c>
      <c r="H18" s="31" t="inlineStr">
        <is>
          <t>Request form and HR status steps exist.</t>
        </is>
      </c>
      <c r="I18" s="31" t="inlineStr">
        <is>
          <t>HR to confirm the steps; apply the approved change to the Employee record with an audit trail.</t>
        </is>
      </c>
      <c r="J18" s="31" t="inlineStr">
        <is>
          <t>Employee Data Update Request</t>
        </is>
      </c>
    </row>
    <row r="19">
      <c r="A19" s="29" t="inlineStr">
        <is>
          <t>HR-18</t>
        </is>
      </c>
      <c r="B19" s="30" t="inlineStr">
        <is>
          <t>Leave</t>
        </is>
      </c>
      <c r="C19" s="31" t="inlineStr">
        <is>
          <t>Editable leave types and policies on migrate</t>
        </is>
      </c>
      <c r="D19" s="30" t="inlineStr">
        <is>
          <t>Earlier (May – 5 Oct 2026)</t>
        </is>
      </c>
      <c r="E19" s="30" t="inlineStr">
        <is>
          <t>Done</t>
        </is>
      </c>
      <c r="F19" s="30" t="inlineStr">
        <is>
          <t>Abdul Hakeem</t>
        </is>
      </c>
      <c r="G19" s="30" t="inlineStr">
        <is>
          <t>Medium</t>
        </is>
      </c>
      <c r="H19" s="31" t="inlineStr">
        <is>
          <t>Migration creates editable starter records and draft policies; 6 unit tests pass.</t>
        </is>
      </c>
      <c r="I19" s="31" t="inlineStr">
        <is>
          <t>HR to confirm final policies.</t>
        </is>
      </c>
      <c r="J19" s="31" t="inlineStr">
        <is>
          <t>setup_leave_defaults.py</t>
        </is>
      </c>
    </row>
    <row r="20">
      <c r="A20" s="29" t="inlineStr">
        <is>
          <t>HR-19</t>
        </is>
      </c>
      <c r="B20" s="30" t="inlineStr">
        <is>
          <t>Leave</t>
        </is>
      </c>
      <c r="C20" s="31" t="inlineStr">
        <is>
          <t>Leave policy activation and allocations</t>
        </is>
      </c>
      <c r="D20" s="30" t="inlineStr">
        <is>
          <t>20 Oct 2026</t>
        </is>
      </c>
      <c r="E20" s="30" t="inlineStr">
        <is>
          <t>Done – client UAT pending</t>
        </is>
      </c>
      <c r="F20" s="30" t="inlineStr">
        <is>
          <t>Abdul Hakeem + HR</t>
        </is>
      </c>
      <c r="G20" s="30" t="inlineStr">
        <is>
          <t>High</t>
        </is>
      </c>
      <c r="H20" s="31" t="inlineStr">
        <is>
          <t>Full leave flow tested in the browser: request -&gt; approver approves and submits -&gt; balance 21 -&gt; 19.</t>
        </is>
      </c>
      <c r="I20" s="31" t="inlineStr">
        <is>
          <t>Set real policies and allocations for real employees.</t>
        </is>
      </c>
      <c r="J20" s="31" t="inlineStr">
        <is>
          <t>setup_local_leave_demo.py</t>
        </is>
      </c>
    </row>
    <row r="21">
      <c r="A21" s="29" t="inlineStr">
        <is>
          <t>HR-20</t>
        </is>
      </c>
      <c r="B21" s="30" t="inlineStr">
        <is>
          <t>Leave</t>
        </is>
      </c>
      <c r="C21" s="31" t="inlineStr">
        <is>
          <t>Medical leave year and pay-stage controls</t>
        </is>
      </c>
      <c r="D21" s="30" t="inlineStr">
        <is>
          <t>Earlier (May – 5 Oct 2026)</t>
        </is>
      </c>
      <c r="E21" s="30" t="inlineStr">
        <is>
          <t>Done – client UAT pending</t>
        </is>
      </c>
      <c r="F21" s="30" t="inlineStr">
        <is>
          <t>Abdul Hakeem + HR</t>
        </is>
      </c>
      <c r="G21" s="30" t="inlineStr">
        <is>
          <t>High</t>
        </is>
      </c>
      <c r="H21" s="31" t="inlineStr">
        <is>
          <t>6 unit tests pass (stages, overlaps, caps).</t>
        </is>
      </c>
      <c r="I21" s="31" t="inlineStr">
        <is>
          <t>HR to review stage rules; Finance to review payroll effect.</t>
        </is>
      </c>
      <c r="J21" s="31" t="inlineStr">
        <is>
          <t>medical_leave.py</t>
        </is>
      </c>
    </row>
    <row r="22">
      <c r="A22" s="29" t="inlineStr">
        <is>
          <t>HR-21</t>
        </is>
      </c>
      <c r="B22" s="30" t="inlineStr">
        <is>
          <t>Leave</t>
        </is>
      </c>
      <c r="C22" s="31" t="inlineStr">
        <is>
          <t>Monthly half-day and remote-work limits</t>
        </is>
      </c>
      <c r="D22" s="30" t="inlineStr">
        <is>
          <t>Earlier (May – 5 Oct 2026)</t>
        </is>
      </c>
      <c r="E22" s="30" t="inlineStr">
        <is>
          <t>Done – client UAT pending</t>
        </is>
      </c>
      <c r="F22" s="30" t="inlineStr">
        <is>
          <t>Abdul Hakeem + HR</t>
        </is>
      </c>
      <c r="G22" s="30" t="inlineStr">
        <is>
          <t>Medium</t>
        </is>
      </c>
      <c r="H22" s="31" t="inlineStr">
        <is>
          <t>6 unit tests pass. Remote-work limit is currently switched off in HR Settings.</t>
        </is>
      </c>
      <c r="I22" s="31" t="inlineStr">
        <is>
          <t>HR to confirm limits and switch them on.</t>
        </is>
      </c>
      <c r="J22" s="31" t="inlineStr">
        <is>
          <t>monthly_leave_policy.py</t>
        </is>
      </c>
    </row>
    <row r="23">
      <c r="A23" s="29" t="inlineStr">
        <is>
          <t>HR-22</t>
        </is>
      </c>
      <c r="B23" s="30" t="inlineStr">
        <is>
          <t>Leave</t>
        </is>
      </c>
      <c r="C23" s="31" t="inlineStr">
        <is>
          <t>Employee balances and monthly usage display</t>
        </is>
      </c>
      <c r="D23" s="30" t="inlineStr">
        <is>
          <t>20 Oct 2026</t>
        </is>
      </c>
      <c r="E23" s="30" t="inlineStr">
        <is>
          <t>Done</t>
        </is>
      </c>
      <c r="F23" s="30" t="inlineStr">
        <is>
          <t>Abdul Hakeem</t>
        </is>
      </c>
      <c r="G23" s="30" t="inlineStr">
        <is>
          <t>Medium</t>
        </is>
      </c>
      <c r="H23" s="31" t="inlineStr">
        <is>
          <t>Balance updates after approval (browser test APR-05).</t>
        </is>
      </c>
      <c r="I23" s="31" t="inlineStr">
        <is>
          <t>None.</t>
        </is>
      </c>
      <c r="J23" s="31" t="inlineStr">
        <is>
          <t>employee_dashboard.py</t>
        </is>
      </c>
    </row>
    <row r="24">
      <c r="A24" s="29" t="inlineStr">
        <is>
          <t>HR-23</t>
        </is>
      </c>
      <c r="B24" s="30" t="inlineStr">
        <is>
          <t>Leave</t>
        </is>
      </c>
      <c r="C24" s="31" t="inlineStr">
        <is>
          <t>Carry-forward, service eligibility and holiday calendar</t>
        </is>
      </c>
      <c r="D24" s="30" t="inlineStr">
        <is>
          <t>—</t>
        </is>
      </c>
      <c r="E24" s="30" t="inlineStr">
        <is>
          <t>Pending – decision needed</t>
        </is>
      </c>
      <c r="F24" s="30" t="inlineStr">
        <is>
          <t>HR</t>
        </is>
      </c>
      <c r="G24" s="30" t="inlineStr">
        <is>
          <t>Medium</t>
        </is>
      </c>
      <c r="H24" s="31" t="inlineStr">
        <is>
          <t>Demo weekend calendar only.</t>
        </is>
      </c>
      <c r="I24" s="31" t="inlineStr">
        <is>
          <t>HR to give official holidays and carry-forward rules; set the Academic Holiday List in HR Settings.</t>
        </is>
      </c>
      <c r="J24" s="31" t="inlineStr">
        <is>
          <t>HR Settings</t>
        </is>
      </c>
    </row>
    <row r="25">
      <c r="A25" s="29" t="inlineStr">
        <is>
          <t>HR-24</t>
        </is>
      </c>
      <c r="B25" s="30" t="inlineStr">
        <is>
          <t>Approvals</t>
        </is>
      </c>
      <c r="C25" s="31" t="inlineStr">
        <is>
          <t>Manager, HR and Finance approval routing</t>
        </is>
      </c>
      <c r="D25" s="30" t="inlineStr">
        <is>
          <t>19 Oct 2026</t>
        </is>
      </c>
      <c r="E25" s="30" t="inlineStr">
        <is>
          <t>In progress</t>
        </is>
      </c>
      <c r="F25" s="30" t="inlineStr">
        <is>
          <t>Abdul Hakeem + HR/Finance</t>
        </is>
      </c>
      <c r="G25" s="30" t="inlineStr">
        <is>
          <t>High</t>
        </is>
      </c>
      <c r="H25" s="31" t="inlineStr">
        <is>
          <t>Finance roles fixed on 19 Oct (Finance Manager or Accounts Manager accepted). HR approve/reject/issue tested.</t>
        </is>
      </c>
      <c r="I25" s="31" t="inlineStr">
        <is>
          <t>Agree the approver per step with HR and Finance; build the workflow; label amounts in SAR (some messages say AED).</t>
        </is>
      </c>
      <c r="J25" s="31" t="inlineStr">
        <is>
          <t>overrides/; HRM_APPROVAL_MATRIX.md</t>
        </is>
      </c>
    </row>
    <row r="26">
      <c r="A26" s="29" t="inlineStr">
        <is>
          <t>HR-25</t>
        </is>
      </c>
      <c r="B26" s="30" t="inlineStr">
        <is>
          <t>Approvals</t>
        </is>
      </c>
      <c r="C26" s="31" t="inlineStr">
        <is>
          <t>Notifications, rejection reasons and audit trail</t>
        </is>
      </c>
      <c r="D26" s="30" t="inlineStr">
        <is>
          <t>—</t>
        </is>
      </c>
      <c r="E26" s="30" t="inlineStr">
        <is>
          <t>Pending – development</t>
        </is>
      </c>
      <c r="F26" s="30" t="inlineStr">
        <is>
          <t>Abdul Hakeem + HR</t>
        </is>
      </c>
      <c r="G26" s="30" t="inlineStr">
        <is>
          <t>Medium</t>
        </is>
      </c>
      <c r="H26" s="31" t="inlineStr">
        <is>
          <t>Changes are tracked (track_changes). E-mail sending fails on this copy (HR-47).</t>
        </is>
      </c>
      <c r="I26" s="31" t="inlineStr">
        <is>
          <t>Add rejection reason; send submit/approve/reject e-mails once the mail account works.</t>
        </is>
      </c>
      <c r="J26" s="31" t="inlineStr">
        <is>
          <t>HRM_UAT_SCENARIOS.md</t>
        </is>
      </c>
    </row>
    <row r="27">
      <c r="A27" s="29" t="inlineStr">
        <is>
          <t>HR-26</t>
        </is>
      </c>
      <c r="B27" s="30" t="inlineStr">
        <is>
          <t>Compliance</t>
        </is>
      </c>
      <c r="C27" s="31" t="inlineStr">
        <is>
          <t>Medical licences, contract renewal and separation</t>
        </is>
      </c>
      <c r="D27" s="30" t="inlineStr">
        <is>
          <t>20 Oct 2026</t>
        </is>
      </c>
      <c r="E27" s="30" t="inlineStr">
        <is>
          <t>Done – client UAT pending</t>
        </is>
      </c>
      <c r="F27" s="30" t="inlineStr">
        <is>
          <t>Abdul Hakeem</t>
        </is>
      </c>
      <c r="G27" s="30" t="inlineStr">
        <is>
          <t>Medium</t>
        </is>
      </c>
      <c r="H27" s="31" t="inlineStr">
        <is>
          <t>Licence creation and own-licence visibility tested (LIC-01/02). Contract renewal is HR-only.</t>
        </is>
      </c>
      <c r="I27" s="31" t="inlineStr">
        <is>
          <t>UAT of expiry reminders and separation.</t>
        </is>
      </c>
      <c r="J27" s="31" t="inlineStr">
        <is>
          <t>Employee Medical License</t>
        </is>
      </c>
    </row>
    <row r="28">
      <c r="A28" s="29" t="inlineStr">
        <is>
          <t>HR-27</t>
        </is>
      </c>
      <c r="B28" s="30" t="inlineStr">
        <is>
          <t>Integration</t>
        </is>
      </c>
      <c r="C28" s="31" t="inlineStr">
        <is>
          <t>Employee &lt;-&gt; Instructor link</t>
        </is>
      </c>
      <c r="D28" s="30" t="inlineStr">
        <is>
          <t>19 Oct 2026</t>
        </is>
      </c>
      <c r="E28" s="30" t="inlineStr">
        <is>
          <t>Pending – data / setup</t>
        </is>
      </c>
      <c r="F28" s="30" t="inlineStr">
        <is>
          <t>HR</t>
        </is>
      </c>
      <c r="G28" s="30" t="inlineStr">
        <is>
          <t>High</t>
        </is>
      </c>
      <c r="H28" s="31" t="inlineStr">
        <is>
          <t>Linking tool and HR data sheet done (19 Oct). Only 1 of 216 instructors is linked to an Employee.</t>
        </is>
      </c>
      <c r="I28" s="31" t="inlineStr">
        <is>
          <t>HR fills the Instructor data sheet, then run the import (HR-55).</t>
        </is>
      </c>
      <c r="J28" s="31" t="inlineStr">
        <is>
          <t>link_existing_instructors.py; instructor_data_sheet.py</t>
        </is>
      </c>
    </row>
    <row r="29">
      <c r="A29" s="29" t="inlineStr">
        <is>
          <t>HR-28</t>
        </is>
      </c>
      <c r="B29" s="30" t="inlineStr">
        <is>
          <t>Integration</t>
        </is>
      </c>
      <c r="C29" s="31" t="inlineStr">
        <is>
          <t>Automatic Employee/Instructor profile sync</t>
        </is>
      </c>
      <c r="D29" s="30" t="inlineStr">
        <is>
          <t>—</t>
        </is>
      </c>
      <c r="E29" s="30" t="inlineStr">
        <is>
          <t>Planned</t>
        </is>
      </c>
      <c r="F29" s="30" t="inlineStr">
        <is>
          <t>HRM + Education teams</t>
        </is>
      </c>
      <c r="G29" s="30" t="inlineStr">
        <is>
          <t>Low</t>
        </is>
      </c>
      <c r="H29" s="31" t="inlineStr">
        <is>
          <t>Not started.</t>
        </is>
      </c>
      <c r="I29" s="31" t="inlineStr">
        <is>
          <t>Agree which side owns each field, then build.</t>
        </is>
      </c>
      <c r="J29" s="31" t="inlineStr">
        <is>
          <t>JAMEAH_HRMS_IMPLEMENTATION_PLAN.md</t>
        </is>
      </c>
    </row>
    <row r="30">
      <c r="A30" s="29" t="inlineStr">
        <is>
          <t>HR-29</t>
        </is>
      </c>
      <c r="B30" s="30" t="inlineStr">
        <is>
          <t>Payroll</t>
        </is>
      </c>
      <c r="C30" s="31" t="inlineStr">
        <is>
          <t>Payroll inputs and approved-benefit handoff</t>
        </is>
      </c>
      <c r="D30" s="30" t="inlineStr">
        <is>
          <t>—</t>
        </is>
      </c>
      <c r="E30" s="30" t="inlineStr">
        <is>
          <t>Planned</t>
        </is>
      </c>
      <c r="F30" s="30" t="inlineStr">
        <is>
          <t>HRM + Finance</t>
        </is>
      </c>
      <c r="G30" s="30" t="inlineStr">
        <is>
          <t>Medium</t>
        </is>
      </c>
      <c r="H30" s="31" t="inlineStr">
        <is>
          <t>Not started.</t>
        </is>
      </c>
      <c r="I30" s="31" t="inlineStr">
        <is>
          <t>Define the handoff with Finance.</t>
        </is>
      </c>
      <c r="J30" s="31" t="inlineStr">
        <is>
          <t>HRM and Finance Module Integration Roadmap.html</t>
        </is>
      </c>
    </row>
    <row r="31">
      <c r="A31" s="29" t="inlineStr">
        <is>
          <t>HR-30</t>
        </is>
      </c>
      <c r="B31" s="30" t="inlineStr">
        <is>
          <t>Payroll</t>
        </is>
      </c>
      <c r="C31" s="31" t="inlineStr">
        <is>
          <t>Payroll calculations, accounting and reports</t>
        </is>
      </c>
      <c r="D31" s="30" t="inlineStr">
        <is>
          <t>—</t>
        </is>
      </c>
      <c r="E31" s="30" t="inlineStr">
        <is>
          <t>Planned</t>
        </is>
      </c>
      <c r="F31" s="30" t="inlineStr">
        <is>
          <t>Finance + HRM</t>
        </is>
      </c>
      <c r="G31" s="30" t="inlineStr">
        <is>
          <t>Medium</t>
        </is>
      </c>
      <c r="H31" s="31" t="inlineStr">
        <is>
          <t>Not started.</t>
        </is>
      </c>
      <c r="I31" s="31" t="inlineStr">
        <is>
          <t>Validate salary slips and partial-pay leave with Finance.</t>
        </is>
      </c>
      <c r="J31" s="31" t="inlineStr">
        <is>
          <t>Roadmap</t>
        </is>
      </c>
    </row>
    <row r="32">
      <c r="A32" s="29" t="inlineStr">
        <is>
          <t>HR-31</t>
        </is>
      </c>
      <c r="B32" s="30" t="inlineStr">
        <is>
          <t>Testing</t>
        </is>
      </c>
      <c r="C32" s="31" t="inlineStr">
        <is>
          <t>Automated and end-to-end testing</t>
        </is>
      </c>
      <c r="D32" s="30" t="inlineStr">
        <is>
          <t>21 Oct 2026</t>
        </is>
      </c>
      <c r="E32" s="30" t="inlineStr">
        <is>
          <t>Done</t>
        </is>
      </c>
      <c r="F32" s="30" t="inlineStr">
        <is>
          <t>Abdul Hakeem</t>
        </is>
      </c>
      <c r="G32" s="30" t="inlineStr">
        <is>
          <t>High</t>
        </is>
      </c>
      <c r="H32" s="31" t="inlineStr">
        <is>
          <t>Browser end-to-end rounds on 19, 20 and 21 Oct (latest: see Test Report). 26 unit tests pass. Jameah views verified value by value.</t>
        </is>
      </c>
      <c r="I32" s="31" t="inlineStr">
        <is>
          <t>Client UAT with the Test Cases workbook.</t>
        </is>
      </c>
      <c r="J32" s="31" t="inlineStr">
        <is>
          <t>Test Report; Test Cases workbook</t>
        </is>
      </c>
    </row>
    <row r="33">
      <c r="A33" s="29" t="inlineStr">
        <is>
          <t>HR-32</t>
        </is>
      </c>
      <c r="B33" s="30" t="inlineStr">
        <is>
          <t>Documentation</t>
        </is>
      </c>
      <c r="C33" s="31" t="inlineStr">
        <is>
          <t>Documentation and client sign-off</t>
        </is>
      </c>
      <c r="D33" s="30" t="inlineStr">
        <is>
          <t>21 Oct 2026</t>
        </is>
      </c>
      <c r="E33" s="30" t="inlineStr">
        <is>
          <t>In progress</t>
        </is>
      </c>
      <c r="F33" s="30" t="inlineStr">
        <is>
          <t>Abdul Hakeem + HR</t>
        </is>
      </c>
      <c r="G33" s="30" t="inlineStr">
        <is>
          <t>Medium</t>
        </is>
      </c>
      <c r="H33" s="31" t="inlineStr">
        <is>
          <t>This tracker, the test cases workbook, the test report, Jameah README and VIEWS mapping.</t>
        </is>
      </c>
      <c r="I33" s="31" t="inlineStr">
        <is>
          <t>HR / Finance sign-off after UAT.</t>
        </is>
      </c>
      <c r="J33" s="31" t="inlineStr">
        <is>
          <t>docs/</t>
        </is>
      </c>
    </row>
    <row r="34">
      <c r="A34" s="29" t="inlineStr">
        <is>
          <t>HR-33</t>
        </is>
      </c>
      <c r="B34" s="30" t="inlineStr">
        <is>
          <t>Security</t>
        </is>
      </c>
      <c r="C34" s="31" t="inlineStr">
        <is>
          <t>Job applications could grant admin roles</t>
        </is>
      </c>
      <c r="D34" s="30" t="inlineStr">
        <is>
          <t>19 Oct 2026</t>
        </is>
      </c>
      <c r="E34" s="30" t="inlineStr">
        <is>
          <t>Done</t>
        </is>
      </c>
      <c r="F34" s="30" t="inlineStr">
        <is>
          <t>Abdul Hakeem</t>
        </is>
      </c>
      <c r="G34" s="30" t="inlineStr">
        <is>
          <t>Critical</t>
        </is>
      </c>
      <c r="H34" s="31" t="inlineStr">
        <is>
          <t>A guest could get System Manager through the public form. Fixed with an allow-list of hireable roles, checked again before conversion.</t>
        </is>
      </c>
      <c r="I34" s="31" t="inlineStr">
        <is>
          <t>None.</t>
        </is>
      </c>
      <c r="J34" s="31" t="inlineStr">
        <is>
          <t>0ab539e</t>
        </is>
      </c>
    </row>
    <row r="35">
      <c r="A35" s="29" t="inlineStr">
        <is>
          <t>HR-34</t>
        </is>
      </c>
      <c r="B35" s="30" t="inlineStr">
        <is>
          <t>Recruitment</t>
        </is>
      </c>
      <c r="C35" s="31" t="inlineStr">
        <is>
          <t>Each academic hire gets the records its dashboard needs</t>
        </is>
      </c>
      <c r="D35" s="30" t="inlineStr">
        <is>
          <t>19 Oct 2026</t>
        </is>
      </c>
      <c r="E35" s="30" t="inlineStr">
        <is>
          <t>Done</t>
        </is>
      </c>
      <c r="F35" s="30" t="inlineStr">
        <is>
          <t>Abdul Hakeem</t>
        </is>
      </c>
      <c r="G35" s="30" t="inlineStr">
        <is>
          <t>High</t>
        </is>
      </c>
      <c r="H35" s="31" t="inlineStr">
        <is>
          <t>Instructor, Academic Advisor (+ Instructor) and Head of Department records created and linked; every hire gets the Employee role.</t>
        </is>
      </c>
      <c r="I35" s="31" t="inlineStr">
        <is>
          <t>None.</t>
        </is>
      </c>
      <c r="J35" s="31" t="inlineStr">
        <is>
          <t>8390598</t>
        </is>
      </c>
    </row>
    <row r="36">
      <c r="A36" s="29" t="inlineStr">
        <is>
          <t>HR-35</t>
        </is>
      </c>
      <c r="B36" s="30" t="inlineStr">
        <is>
          <t>Recruitment</t>
        </is>
      </c>
      <c r="C36" s="31" t="inlineStr">
        <is>
          <t>HR spreadsheet to complete Instructor Ministry data</t>
        </is>
      </c>
      <c r="D36" s="30" t="inlineStr">
        <is>
          <t>19 Oct 2026</t>
        </is>
      </c>
      <c r="E36" s="30" t="inlineStr">
        <is>
          <t>Done</t>
        </is>
      </c>
      <c r="F36" s="30" t="inlineStr">
        <is>
          <t>Abdul Hakeem</t>
        </is>
      </c>
      <c r="G36" s="30" t="inlineStr">
        <is>
          <t>High</t>
        </is>
      </c>
      <c r="H36" s="31" t="inlineStr">
        <is>
          <t>Dated bilingual export/import sheet with checks and a colour-coded result file.</t>
        </is>
      </c>
      <c r="I36" s="31" t="inlineStr">
        <is>
          <t>HR to fill it (HR-55).</t>
        </is>
      </c>
      <c r="J36" s="31" t="inlineStr">
        <is>
          <t>02f978e; instructor_data_sheet.py</t>
        </is>
      </c>
    </row>
    <row r="37">
      <c r="A37" s="29" t="inlineStr">
        <is>
          <t>HR-36</t>
        </is>
      </c>
      <c r="B37" s="30" t="inlineStr">
        <is>
          <t>Academic presence</t>
        </is>
      </c>
      <c r="C37" s="31" t="inlineStr">
        <is>
          <t>Faculty schedules (HR requirement 1)</t>
        </is>
      </c>
      <c r="D37" s="30" t="inlineStr">
        <is>
          <t>20 Oct 2026</t>
        </is>
      </c>
      <c r="E37" s="30" t="inlineStr">
        <is>
          <t>Done – client UAT pending</t>
        </is>
      </c>
      <c r="F37" s="30" t="inlineStr">
        <is>
          <t>Abdul Hakeem</t>
        </is>
      </c>
      <c r="G37" s="30" t="inlineStr">
        <is>
          <t>High</t>
        </is>
      </c>
      <c r="H37" s="31" t="inlineStr">
        <is>
          <t>Every teaching session per faculty member, room and mode; faculty filter; CSV export. Tested: 390 sessions, 58 faculty for 6–12 Sep 2026.</t>
        </is>
      </c>
      <c r="I37" s="31" t="inlineStr">
        <is>
          <t>HR UAT.</t>
        </is>
      </c>
      <c r="J37" s="31" t="inlineStr">
        <is>
          <t>0578d3d; page/hr_academic_presence</t>
        </is>
      </c>
    </row>
    <row r="38">
      <c r="A38" s="29" t="inlineStr">
        <is>
          <t>HR-37</t>
        </is>
      </c>
      <c r="B38" s="30" t="inlineStr">
        <is>
          <t>Academic presence</t>
        </is>
      </c>
      <c r="C38" s="31" t="inlineStr">
        <is>
          <t>Proctor schedules (HR requirement 2)</t>
        </is>
      </c>
      <c r="D38" s="30" t="inlineStr">
        <is>
          <t>20 Oct 2026</t>
        </is>
      </c>
      <c r="E38" s="30" t="inlineStr">
        <is>
          <t>Done – client UAT pending</t>
        </is>
      </c>
      <c r="F38" s="30" t="inlineStr">
        <is>
          <t>Abdul Hakeem</t>
        </is>
      </c>
      <c r="G38" s="30" t="inlineStr">
        <is>
          <t>High</t>
        </is>
      </c>
      <c r="H38" s="31" t="inlineStr">
        <is>
          <t>Exam Committee proctor assignments by date, time and room.</t>
        </is>
      </c>
      <c r="I38" s="31" t="inlineStr">
        <is>
          <t>Needs real exam committees in the system to show data.</t>
        </is>
      </c>
      <c r="J38" s="31" t="inlineStr">
        <is>
          <t>0578d3d</t>
        </is>
      </c>
    </row>
    <row r="39">
      <c r="A39" s="29" t="inlineStr">
        <is>
          <t>HR-38</t>
        </is>
      </c>
      <c r="B39" s="30" t="inlineStr">
        <is>
          <t>Academic presence</t>
        </is>
      </c>
      <c r="C39" s="31" t="inlineStr">
        <is>
          <t>Students on campus per hour (HR requirement 3)</t>
        </is>
      </c>
      <c r="D39" s="30" t="inlineStr">
        <is>
          <t>20 Oct 2026</t>
        </is>
      </c>
      <c r="E39" s="30" t="inlineStr">
        <is>
          <t>Done – client UAT pending</t>
        </is>
      </c>
      <c r="F39" s="30" t="inlineStr">
        <is>
          <t>Abdul Hakeem</t>
        </is>
      </c>
      <c r="G39" s="30" t="inlineStr">
        <is>
          <t>High</t>
        </is>
      </c>
      <c r="H39" s="31" t="inlineStr">
        <is>
          <t>Hourly expected / present / absent. Tested: 8 Sep 2026 = 858 expected, 397 present (matches attendance).</t>
        </is>
      </c>
      <c r="I39" s="31" t="inlineStr">
        <is>
          <t>HR UAT.</t>
        </is>
      </c>
      <c r="J39" s="31" t="inlineStr">
        <is>
          <t>0578d3d</t>
        </is>
      </c>
    </row>
    <row r="40">
      <c r="A40" s="29" t="inlineStr">
        <is>
          <t>HR-39</t>
        </is>
      </c>
      <c r="B40" s="30" t="inlineStr">
        <is>
          <t>Academic presence</t>
        </is>
      </c>
      <c r="C40" s="31" t="inlineStr">
        <is>
          <t>Faculty on campus after 4 PM (HR requirement 4)</t>
        </is>
      </c>
      <c r="D40" s="30" t="inlineStr">
        <is>
          <t>20 Oct 2026</t>
        </is>
      </c>
      <c r="E40" s="30" t="inlineStr">
        <is>
          <t>Done – client UAT pending</t>
        </is>
      </c>
      <c r="F40" s="30" t="inlineStr">
        <is>
          <t>Abdul Hakeem</t>
        </is>
      </c>
      <c r="G40" s="30" t="inlineStr">
        <is>
          <t>High</t>
        </is>
      </c>
      <c r="H40" s="31" t="inlineStr">
        <is>
          <t>Daily list with evidence (device / class attendance / timetable); cut-off configurable in HR Settings. Tested: 27 people, 47 person-days in the test week.</t>
        </is>
      </c>
      <c r="I40" s="31" t="inlineStr">
        <is>
          <t>Connect attendance devices for exact times (HR-56).</t>
        </is>
      </c>
      <c r="J40" s="31" t="inlineStr">
        <is>
          <t>bfac883</t>
        </is>
      </c>
    </row>
    <row r="41">
      <c r="A41" s="29" t="inlineStr">
        <is>
          <t>HR-40</t>
        </is>
      </c>
      <c r="B41" s="30" t="inlineStr">
        <is>
          <t>Testing</t>
        </is>
      </c>
      <c r="C41" s="31" t="inlineStr">
        <is>
          <t>Browser end-to-end test round 1 and fixes</t>
        </is>
      </c>
      <c r="D41" s="30" t="inlineStr">
        <is>
          <t>20 Oct 2026</t>
        </is>
      </c>
      <c r="E41" s="30" t="inlineStr">
        <is>
          <t>Done</t>
        </is>
      </c>
      <c r="F41" s="30" t="inlineStr">
        <is>
          <t>Abdul Hakeem</t>
        </is>
      </c>
      <c r="G41" s="30" t="inlineStr">
        <is>
          <t>High</t>
        </is>
      </c>
      <c r="H41" s="31" t="inlineStr">
        <is>
          <t>68 browser tests, 8 real bugs found and fixed (see Bugs sheet B-13..B-21).</t>
        </is>
      </c>
      <c r="I41" s="31" t="inlineStr">
        <is>
          <t>None.</t>
        </is>
      </c>
      <c r="J41" s="31" t="inlineStr">
        <is>
          <t>7f0c5fc</t>
        </is>
      </c>
    </row>
    <row r="42">
      <c r="A42" s="29" t="inlineStr">
        <is>
          <t>HR-41</t>
        </is>
      </c>
      <c r="B42" s="30" t="inlineStr">
        <is>
          <t>Employee master</t>
        </is>
      </c>
      <c r="C42" s="31" t="inlineStr">
        <is>
          <t>Saving an Employee who has a login failed</t>
        </is>
      </c>
      <c r="D42" s="30" t="inlineStr">
        <is>
          <t>20 Oct 2026</t>
        </is>
      </c>
      <c r="E42" s="30" t="inlineStr">
        <is>
          <t>Done</t>
        </is>
      </c>
      <c r="F42" s="30" t="inlineStr">
        <is>
          <t>Abdul Hakeem</t>
        </is>
      </c>
      <c r="G42" s="30" t="inlineStr">
        <is>
          <t>Critical</t>
        </is>
      </c>
      <c r="H42" s="31" t="inlineStr">
        <is>
          <t>'Could not find Gender: Gender::1' on every save of an employee with a login. Fixed in the Employee controller.</t>
        </is>
      </c>
      <c r="I42" s="31" t="inlineStr">
        <is>
          <t>None.</t>
        </is>
      </c>
      <c r="J42" s="31" t="inlineStr">
        <is>
          <t>7f0c5fc; overrides/employee.py</t>
        </is>
      </c>
    </row>
    <row r="43">
      <c r="A43" s="29" t="inlineStr">
        <is>
          <t>HR-42</t>
        </is>
      </c>
      <c r="B43" s="30" t="inlineStr">
        <is>
          <t>Requests</t>
        </is>
      </c>
      <c r="C43" s="31" t="inlineStr">
        <is>
          <t>Leave Return Request list failed for HR</t>
        </is>
      </c>
      <c r="D43" s="30" t="inlineStr">
        <is>
          <t>20 Oct 2026</t>
        </is>
      </c>
      <c r="E43" s="30" t="inlineStr">
        <is>
          <t>Done</t>
        </is>
      </c>
      <c r="F43" s="30" t="inlineStr">
        <is>
          <t>Abdul Hakeem</t>
        </is>
      </c>
      <c r="G43" s="30" t="inlineStr">
        <is>
          <t>High</t>
        </is>
      </c>
      <c r="H43" s="31" t="inlineStr">
        <is>
          <t>Frappe rejects queries on a doctype named with ' from '. Renamed 'Return from Leave Request' -&gt; 'Leave Return Request' (migration patch moves the data).</t>
        </is>
      </c>
      <c r="I43" s="31" t="inlineStr">
        <is>
          <t>None.</t>
        </is>
      </c>
      <c r="J43" s="31" t="inlineStr">
        <is>
          <t>7f0c5fc; patches/rename_return_from_leave_request.py</t>
        </is>
      </c>
    </row>
    <row r="44">
      <c r="A44" s="29" t="inlineStr">
        <is>
          <t>HR-43</t>
        </is>
      </c>
      <c r="B44" s="30" t="inlineStr">
        <is>
          <t>Security</t>
        </is>
      </c>
      <c r="C44" s="31" t="inlineStr">
        <is>
          <t>HR permissions on core doctypes</t>
        </is>
      </c>
      <c r="D44" s="30" t="inlineStr">
        <is>
          <t>20 Oct 2026</t>
        </is>
      </c>
      <c r="E44" s="30" t="inlineStr">
        <is>
          <t>Done</t>
        </is>
      </c>
      <c r="F44" s="30" t="inlineStr">
        <is>
          <t>Abdul Hakeem</t>
        </is>
      </c>
      <c r="G44" s="30" t="inlineStr">
        <is>
          <t>High</t>
        </is>
      </c>
      <c r="H44" s="31" t="inlineStr">
        <is>
          <t>HR read access to Company, Instructor, Department Edu; select-only Role; Travel Request. Applied on migrate.</t>
        </is>
      </c>
      <c r="I44" s="31" t="inlineStr">
        <is>
          <t>None.</t>
        </is>
      </c>
      <c r="J44" s="31" t="inlineStr">
        <is>
          <t>hr_core_permissions.py</t>
        </is>
      </c>
    </row>
    <row r="45">
      <c r="A45" s="29" t="inlineStr">
        <is>
          <t>HR-44</t>
        </is>
      </c>
      <c r="B45" s="30" t="inlineStr">
        <is>
          <t>Recruitment</t>
        </is>
      </c>
      <c r="C45" s="31" t="inlineStr">
        <is>
          <t>Applicant fields lost when converting to Employee</t>
        </is>
      </c>
      <c r="D45" s="30" t="inlineStr">
        <is>
          <t>20 Oct 2026</t>
        </is>
      </c>
      <c r="E45" s="30" t="inlineStr">
        <is>
          <t>Done</t>
        </is>
      </c>
      <c r="F45" s="30" t="inlineStr">
        <is>
          <t>Abdul Hakeem</t>
        </is>
      </c>
      <c r="G45" s="30" t="inlineStr">
        <is>
          <t>High</t>
        </is>
      </c>
      <c r="H45" s="31" t="inlineStr">
        <is>
          <t>Work phone, extension, application category, expected salary, ID/passport and resume were dropped. Fields added to Employee.</t>
        </is>
      </c>
      <c r="I45" s="31" t="inlineStr">
        <is>
          <t>None.</t>
        </is>
      </c>
      <c r="J45" s="31" t="inlineStr">
        <is>
          <t>d690cb7</t>
        </is>
      </c>
    </row>
    <row r="46">
      <c r="A46" s="29" t="inlineStr">
        <is>
          <t>HR-45</t>
        </is>
      </c>
      <c r="B46" s="30" t="inlineStr">
        <is>
          <t>Security</t>
        </is>
      </c>
      <c r="C46" s="31" t="inlineStr">
        <is>
          <t>HR users not taken to the HR Dashboard after login</t>
        </is>
      </c>
      <c r="D46" s="30" t="inlineStr">
        <is>
          <t>21 Oct 2026</t>
        </is>
      </c>
      <c r="E46" s="30" t="inlineStr">
        <is>
          <t>Done</t>
        </is>
      </c>
      <c r="F46" s="30" t="inlineStr">
        <is>
          <t>Abdul Hakeem</t>
        </is>
      </c>
      <c r="G46" s="30" t="inlineStr">
        <is>
          <t>High</t>
        </is>
      </c>
      <c r="H46" s="31" t="inlineStr">
        <is>
          <t>Education's master branch has no HR roles in its landing list, so HR stayed on /app. Fixed from medical_hrms; browser-tested.</t>
        </is>
      </c>
      <c r="I46" s="31" t="inlineStr">
        <is>
          <t>Deploy (HR-58).</t>
        </is>
      </c>
      <c r="J46" s="31" t="inlineStr">
        <is>
          <t>1ee80cd</t>
        </is>
      </c>
    </row>
    <row r="47">
      <c r="A47" s="29" t="inlineStr">
        <is>
          <t>HR-59</t>
        </is>
      </c>
      <c r="B47" s="30" t="inlineStr">
        <is>
          <t>Navigation</t>
        </is>
      </c>
      <c r="C47" s="31" t="inlineStr">
        <is>
          <t>Employees saw a 'Medical HRMS' link that opened 'Not permitted'</t>
        </is>
      </c>
      <c r="D47" s="30" t="inlineStr">
        <is>
          <t>21 Oct 2026</t>
        </is>
      </c>
      <c r="E47" s="30" t="inlineStr">
        <is>
          <t>Done</t>
        </is>
      </c>
      <c r="F47" s="30" t="inlineStr">
        <is>
          <t>Abdul Hakeem</t>
        </is>
      </c>
      <c r="G47" s="30" t="inlineStr">
        <is>
          <t>High</t>
        </is>
      </c>
      <c r="H47" s="31" t="inlineStr">
        <is>
          <t>Found by the 21 Oct error sweep: the top-bar breadcrumb on the Employee Dashboard and lists pointed employees to the HR-only workspace; one click showed 'Not permitted - No permission for Page'. Breadcrumbs now only point to workspaces the user can open (employees get 'Employee Self Service').</t>
        </is>
      </c>
      <c r="I47" s="31" t="inlineStr">
        <is>
          <t>Deploy (HR-58). Likely one source of the error the client reported.</t>
        </is>
      </c>
      <c r="J47" s="31" t="inlineStr">
        <is>
          <t>workspace_access.py</t>
        </is>
      </c>
    </row>
    <row r="48">
      <c r="A48" s="29" t="inlineStr">
        <is>
          <t>HR-60</t>
        </is>
      </c>
      <c r="B48" s="30" t="inlineStr">
        <is>
          <t>Requests</t>
        </is>
      </c>
      <c r="C48" s="31" t="inlineStr">
        <is>
          <t>HR got a 'No Read or Select Permission for Cost Center' pop-up on a new Expense Claim</t>
        </is>
      </c>
      <c r="D48" s="30" t="inlineStr">
        <is>
          <t>21 Oct 2026</t>
        </is>
      </c>
      <c r="E48" s="30" t="inlineStr">
        <is>
          <t>Done</t>
        </is>
      </c>
      <c r="F48" s="30" t="inlineStr">
        <is>
          <t>Abdul Hakeem</t>
        </is>
      </c>
      <c r="G48" s="30" t="inlineStr">
        <is>
          <t>High</t>
        </is>
      </c>
      <c r="H48" s="31" t="inlineStr">
        <is>
          <t>Found by the 21 Oct error sweep: a new Expense Claim fills in the default cost center, which HR could not select. HR User and HR Manager now get select-only access to Cost Center and Project (as employees already have). Applied on migrate.</t>
        </is>
      </c>
      <c r="I48" s="31" t="inlineStr">
        <is>
          <t>Deploy (HR-58). Likely one source of the error the client reported.</t>
        </is>
      </c>
      <c r="J48" s="31" t="inlineStr">
        <is>
          <t>hr_core_permissions.py</t>
        </is>
      </c>
    </row>
    <row r="49">
      <c r="A49" s="29" t="inlineStr">
        <is>
          <t>HR-61</t>
        </is>
      </c>
      <c r="B49" s="30" t="inlineStr">
        <is>
          <t>Recruitment</t>
        </is>
      </c>
      <c r="C49" s="31" t="inlineStr">
        <is>
          <t>Academic hire with a personal e-mail: Employee created but Instructor record silently missing</t>
        </is>
      </c>
      <c r="D49" s="30" t="inlineStr">
        <is>
          <t>21 Oct 2026</t>
        </is>
      </c>
      <c r="E49" s="30" t="inlineStr">
        <is>
          <t>Done</t>
        </is>
      </c>
      <c r="F49" s="30" t="inlineStr">
        <is>
          <t>Abdul Hakeem</t>
        </is>
      </c>
      <c r="G49" s="30" t="inlineStr">
        <is>
          <t>High</t>
        </is>
      </c>
      <c r="H49" s="31" t="inlineStr">
        <is>
          <t>Education's master branch now requires Instructor e-mails ending in @alriyada.edu.sa. Converting an Instructor/Academic Advisor applicant with a personal e-mail created the Employee and then showed an orange 'Instructor record not created' warning. Now refused up front with 'College E-mail Needed' before anything is created; the Create Employee dialog says which address to use.</t>
        </is>
      </c>
      <c r="I49" s="31" t="inlineStr">
        <is>
          <t>Deploy (HR-58). HR must enter the official college e-mail as Company Email for academic hires.</t>
        </is>
      </c>
      <c r="J49" s="31" t="inlineStr">
        <is>
          <t>job_application.py; employee_job_applicant.js</t>
        </is>
      </c>
    </row>
    <row r="50">
      <c r="A50" s="29" t="inlineStr">
        <is>
          <t>HR-63</t>
        </is>
      </c>
      <c r="B50" s="30" t="inlineStr">
        <is>
          <t>Registration</t>
        </is>
      </c>
      <c r="C50" s="31" t="inlineStr">
        <is>
          <t>Non-Saudi employees could not be saved: the form wiped their Iqama number</t>
        </is>
      </c>
      <c r="D50" s="30" t="inlineStr">
        <is>
          <t>21 Oct 2026</t>
        </is>
      </c>
      <c r="E50" s="30" t="inlineStr">
        <is>
          <t>Done</t>
        </is>
      </c>
      <c r="F50" s="30" t="inlineStr">
        <is>
          <t>Abdul Hakeem</t>
        </is>
      </c>
      <c r="G50" s="30" t="inlineStr">
        <is>
          <t>Critical</t>
        </is>
      </c>
      <c r="H50" s="31" t="inlineStr">
        <is>
          <t>Found 21 Oct: the 19 Oct identity fix (HR-05, bug B-11) changed the server rule (Iqama mandatory for residents, home-country ID optional) but the Employee form script still had the old rule. Opening a non-Saudi employee hid and cleared the Iqama number and demanded the home-country ID, so HR could not save the record at all. Form now matches the Ministry rule; browser-tested with an Iqama holder.</t>
        </is>
      </c>
      <c r="I50" s="31" t="inlineStr">
        <is>
          <t>Deploy (HR-58). Very likely one source of the error the client reported (any HR user opening a non-Saudi employee).</t>
        </is>
      </c>
      <c r="J50" s="31" t="inlineStr">
        <is>
          <t>employee_ministry_lookup.js</t>
        </is>
      </c>
    </row>
    <row r="51">
      <c r="A51" s="29" t="inlineStr">
        <is>
          <t>HR-64</t>
        </is>
      </c>
      <c r="B51" s="30" t="inlineStr">
        <is>
          <t>Recruitment</t>
        </is>
      </c>
      <c r="C51" s="31" t="inlineStr">
        <is>
          <t>Employees created from a job application opened as 'Not Saved'</t>
        </is>
      </c>
      <c r="D51" s="30" t="inlineStr">
        <is>
          <t>21 Oct 2026</t>
        </is>
      </c>
      <c r="E51" s="30" t="inlineStr">
        <is>
          <t>Done</t>
        </is>
      </c>
      <c r="F51" s="30" t="inlineStr">
        <is>
          <t>Abdul Hakeem</t>
        </is>
      </c>
      <c r="G51" s="30" t="inlineStr">
        <is>
          <t>High</t>
        </is>
      </c>
      <c r="H51" s="31" t="inlineStr">
        <is>
          <t>The public form lets an applicant pick a special-needs type with 'Has special needs = No' and a Saudi enter a home-country ID. Those values were copied to the Employee; the form then cleared them on opening (record marked 'Not Saved', 'Leave site?' prompt) and the Ministry view would have sent a special-needs code for someone without special needs. The server now drops values that do not apply on every save; the views only send a special-needs type when the flag is set.</t>
        </is>
      </c>
      <c r="I51" s="31" t="inlineStr">
        <is>
          <t>Deploy (HR-58).</t>
        </is>
      </c>
      <c r="J51" s="31" t="inlineStr">
        <is>
          <t>ministry_lookup_validation.py; jameah/views.py</t>
        </is>
      </c>
    </row>
    <row r="52">
      <c r="A52" s="29" t="inlineStr">
        <is>
          <t>HR-65</t>
        </is>
      </c>
      <c r="B52" s="30" t="inlineStr">
        <is>
          <t>Recruitment</t>
        </is>
      </c>
      <c r="C52" s="31" t="inlineStr">
        <is>
          <t>Create Employee dialog does not ask for Department and Work Location</t>
        </is>
      </c>
      <c r="D52" s="30" t="inlineStr">
        <is>
          <t>—</t>
        </is>
      </c>
      <c r="E52" s="30" t="inlineStr">
        <is>
          <t>Pending – development</t>
        </is>
      </c>
      <c r="F52" s="30" t="inlineStr">
        <is>
          <t>Abdul Hakeem</t>
        </is>
      </c>
      <c r="G52" s="30" t="inlineStr">
        <is>
          <t>Medium</t>
        </is>
      </c>
      <c r="H52" s="31" t="inlineStr">
        <is>
          <t>Both are mandatory on the Employee form, so HR must fill them on the new employee before the record can be saved again ('Missing Fields'). Found 21 Oct.</t>
        </is>
      </c>
      <c r="I52" s="31" t="inlineStr">
        <is>
          <t>Ask for both in the Create Employee dialog.</t>
        </is>
      </c>
      <c r="J52" s="31" t="inlineStr">
        <is>
          <t>employee_job_applicant.js</t>
        </is>
      </c>
    </row>
    <row r="53">
      <c r="A53" s="29" t="inlineStr">
        <is>
          <t>HR-66</t>
        </is>
      </c>
      <c r="B53" s="30" t="inlineStr">
        <is>
          <t>HR dashboard</t>
        </is>
      </c>
      <c r="C53" s="31" t="inlineStr">
        <is>
          <t>HR Portal and Employee Portal in the new college design</t>
        </is>
      </c>
      <c r="D53" s="30" t="inlineStr">
        <is>
          <t>21 Oct 2026</t>
        </is>
      </c>
      <c r="E53" s="30" t="inlineStr">
        <is>
          <t>Done</t>
        </is>
      </c>
      <c r="F53" s="30" t="inlineStr">
        <is>
          <t>Abdul Hakeem</t>
        </is>
      </c>
      <c r="G53" s="30" t="inlineStr">
        <is>
          <t>High</t>
        </is>
      </c>
      <c r="H53" s="31" t="inlineStr">
        <is>
          <t>Same look as the Education team's new portals (Instructor Portal): left menu with sections, top bar with breadcrumb, EN/AR, dark mode, notifications and account menu, page heading, 'Today at a Glance' cards. Covers the HR Dashboard, Employee Dashboard, Academic Presence and Jameah Data Check; menu entries only show pages the user can open; phone layout; right-to-left Arabic with 216 new Arabic translations. Our own code and class names, so Education's changes cannot break these pages.</t>
        </is>
      </c>
      <c r="I53" s="31" t="inlineStr">
        <is>
          <t>Client to review the look; standard Frappe lists and forms keep the normal desk.</t>
        </is>
      </c>
      <c r="J53" s="31" t="inlineStr">
        <is>
          <t>hr_portal.js; hr_portal.css; translations/ar.csv</t>
        </is>
      </c>
    </row>
    <row r="54">
      <c r="A54" s="29" t="inlineStr">
        <is>
          <t>HR-62</t>
        </is>
      </c>
      <c r="B54" s="30" t="inlineStr">
        <is>
          <t>Security</t>
        </is>
      </c>
      <c r="C54" s="31" t="inlineStr">
        <is>
          <t>HR User could not open the Holiday List ('Not permitted')</t>
        </is>
      </c>
      <c r="D54" s="30" t="inlineStr">
        <is>
          <t>21 Oct 2026</t>
        </is>
      </c>
      <c r="E54" s="30" t="inlineStr">
        <is>
          <t>Done</t>
        </is>
      </c>
      <c r="F54" s="30" t="inlineStr">
        <is>
          <t>Abdul Hakeem</t>
        </is>
      </c>
      <c r="G54" s="30" t="inlineStr">
        <is>
          <t>Medium</t>
        </is>
      </c>
      <c r="H54" s="31" t="inlineStr">
        <is>
          <t>ERPNext grants Holiday List to HR Manager only, but HR Users manage employees (whose form links a holiday list) and check holidays when approving leave. HR User now has read-only access.</t>
        </is>
      </c>
      <c r="I54" s="31" t="inlineStr">
        <is>
          <t>Deploy (HR-58).</t>
        </is>
      </c>
      <c r="J54" s="31" t="inlineStr">
        <is>
          <t>hr_core_permissions.py</t>
        </is>
      </c>
    </row>
    <row r="55">
      <c r="A55" s="29" t="inlineStr">
        <is>
          <t>HR-46</t>
        </is>
      </c>
      <c r="B55" s="30" t="inlineStr">
        <is>
          <t>Testing</t>
        </is>
      </c>
      <c r="C55" s="31" t="inlineStr">
        <is>
          <t>Full end-to-end test with error sweep (round 3)</t>
        </is>
      </c>
      <c r="D55" s="30" t="inlineStr">
        <is>
          <t>21 Oct 2026</t>
        </is>
      </c>
      <c r="E55" s="30" t="inlineStr">
        <is>
          <t>Done</t>
        </is>
      </c>
      <c r="F55" s="30" t="inlineStr">
        <is>
          <t>Abdul Hakeem</t>
        </is>
      </c>
      <c r="G55" s="30" t="inlineStr">
        <is>
          <t>High</t>
        </is>
      </c>
      <c r="H55" s="31" t="inlineStr">
        <is>
          <t>All modules plus an error sweep of every page for four roles. Results in the Test Report.</t>
        </is>
      </c>
      <c r="I55" s="31" t="inlineStr">
        <is>
          <t>Client UAT.</t>
        </is>
      </c>
      <c r="J55" s="31" t="inlineStr">
        <is>
          <t>Test Report</t>
        </is>
      </c>
    </row>
    <row r="56">
      <c r="A56" s="29" t="inlineStr">
        <is>
          <t>HR-47</t>
        </is>
      </c>
      <c r="B56" s="30" t="inlineStr">
        <is>
          <t>Infrastructure</t>
        </is>
      </c>
      <c r="C56" s="31" t="inlineStr">
        <is>
          <t>System e-mail account password cannot be decrypted</t>
        </is>
      </c>
      <c r="D56" s="30" t="inlineStr">
        <is>
          <t>—</t>
        </is>
      </c>
      <c r="E56" s="30" t="inlineStr">
        <is>
          <t>Pending – data / setup</t>
        </is>
      </c>
      <c r="F56" s="30" t="inlineStr">
        <is>
          <t>Server admin</t>
        </is>
      </c>
      <c r="G56" s="30" t="inlineStr">
        <is>
          <t>High</t>
        </is>
      </c>
      <c r="H56" s="31" t="inlineStr">
        <is>
          <t>Error Log: 'Failed to decrypt key Email Account.Notifications.password' 10 times (13–20 Oct); 3 e-mails stuck. Every system e-mail fails while this is broken.</t>
        </is>
      </c>
      <c r="I56" s="31" t="inlineStr">
        <is>
          <t>On the live server: open Email Account 'Notifications', re-enter the password, save, send a test e-mail. Check the Error Log there for the same error.</t>
        </is>
      </c>
      <c r="J56" s="31" t="inlineStr">
        <is>
          <t>Error Log; Email Queue</t>
        </is>
      </c>
    </row>
    <row r="57">
      <c r="A57" s="29" t="inlineStr">
        <is>
          <t>HR-48</t>
        </is>
      </c>
      <c r="B57" s="30" t="inlineStr">
        <is>
          <t>Integration</t>
        </is>
      </c>
      <c r="C57" s="31" t="inlineStr">
        <is>
          <t>Instructor form: linking an Employee fails on save</t>
        </is>
      </c>
      <c r="D57" s="30" t="inlineStr">
        <is>
          <t>—</t>
        </is>
      </c>
      <c r="E57" s="30" t="inlineStr">
        <is>
          <t>Pending – other team</t>
        </is>
      </c>
      <c r="F57" s="30" t="inlineStr">
        <is>
          <t>Education team</t>
        </is>
      </c>
      <c r="G57" s="30" t="inlineStr">
        <is>
          <t>Medium</t>
        </is>
      </c>
      <c r="H57" s="31" t="inlineStr">
        <is>
          <t>Instructor copies gender/department from Employee into its own lists, which reject Ministry codes. Recruitment works around it.</t>
        </is>
      </c>
      <c r="I57" s="31" t="inlineStr">
        <is>
          <t>Education team: remove or map those fetches on Instructor.</t>
        </is>
      </c>
      <c r="J57" s="31" t="inlineStr">
        <is>
          <t>education Instructor doctype</t>
        </is>
      </c>
    </row>
    <row r="58">
      <c r="A58" s="29" t="inlineStr">
        <is>
          <t>HR-49</t>
        </is>
      </c>
      <c r="B58" s="30" t="inlineStr">
        <is>
          <t>Registration</t>
        </is>
      </c>
      <c r="C58" s="31" t="inlineStr">
        <is>
          <t>Incomplete-employees report</t>
        </is>
      </c>
      <c r="D58" s="30" t="inlineStr">
        <is>
          <t>—</t>
        </is>
      </c>
      <c r="E58" s="30" t="inlineStr">
        <is>
          <t>Pending – development</t>
        </is>
      </c>
      <c r="F58" s="30" t="inlineStr">
        <is>
          <t>Abdul Hakeem</t>
        </is>
      </c>
      <c r="G58" s="30" t="inlineStr">
        <is>
          <t>Medium</t>
        </is>
      </c>
      <c r="H58" s="31" t="inlineStr">
        <is>
          <t>Not started.</t>
        </is>
      </c>
      <c r="I58" s="31" t="inlineStr">
        <is>
          <t>Report listing employees missing Ministry-mandatory fields.</t>
        </is>
      </c>
      <c r="J58" s="31" t="inlineStr">
        <is>
          <t>—</t>
        </is>
      </c>
    </row>
    <row r="59">
      <c r="A59" s="29" t="inlineStr">
        <is>
          <t>HR-50</t>
        </is>
      </c>
      <c r="B59" s="30" t="inlineStr">
        <is>
          <t>Registration</t>
        </is>
      </c>
      <c r="C59" s="31" t="inlineStr">
        <is>
          <t>Data sheet for non-academic staff</t>
        </is>
      </c>
      <c r="D59" s="30" t="inlineStr">
        <is>
          <t>—</t>
        </is>
      </c>
      <c r="E59" s="30" t="inlineStr">
        <is>
          <t>Pending – development</t>
        </is>
      </c>
      <c r="F59" s="30" t="inlineStr">
        <is>
          <t>Abdul Hakeem</t>
        </is>
      </c>
      <c r="G59" s="30" t="inlineStr">
        <is>
          <t>Medium</t>
        </is>
      </c>
      <c r="H59" s="31" t="inlineStr">
        <is>
          <t>Instructor sheet exists (HR-35).</t>
        </is>
      </c>
      <c r="I59" s="31" t="inlineStr">
        <is>
          <t>Same export/import for non-academic staff.</t>
        </is>
      </c>
      <c r="J59" s="31" t="inlineStr">
        <is>
          <t>—</t>
        </is>
      </c>
    </row>
    <row r="60">
      <c r="A60" s="29" t="inlineStr">
        <is>
          <t>HR-51</t>
        </is>
      </c>
      <c r="B60" s="30" t="inlineStr">
        <is>
          <t>Recruitment</t>
        </is>
      </c>
      <c r="C60" s="31" t="inlineStr">
        <is>
          <t>Duplicate fields on Employee Job Applicant</t>
        </is>
      </c>
      <c r="D60" s="30" t="inlineStr">
        <is>
          <t>—</t>
        </is>
      </c>
      <c r="E60" s="30" t="inlineStr">
        <is>
          <t>Pending – development</t>
        </is>
      </c>
      <c r="F60" s="30" t="inlineStr">
        <is>
          <t>Abdul Hakeem / Dinesh</t>
        </is>
      </c>
      <c r="G60" s="30" t="inlineStr">
        <is>
          <t>Low</t>
        </is>
      </c>
      <c r="H60" s="31" t="inlineStr">
        <is>
          <t>Found during review.</t>
        </is>
      </c>
      <c r="I60" s="31" t="inlineStr">
        <is>
          <t>Remove duplicated custom fields after checking data.</t>
        </is>
      </c>
      <c r="J60" s="31" t="inlineStr">
        <is>
          <t>—</t>
        </is>
      </c>
    </row>
    <row r="61">
      <c r="A61" s="29" t="inlineStr">
        <is>
          <t>HR-52</t>
        </is>
      </c>
      <c r="B61" s="30" t="inlineStr">
        <is>
          <t>Registration</t>
        </is>
      </c>
      <c r="C61" s="31" t="inlineStr">
        <is>
          <t>Identity number length: 9–10 digits (spec) vs exactly 10 (current check)</t>
        </is>
      </c>
      <c r="D61" s="30" t="inlineStr">
        <is>
          <t>—</t>
        </is>
      </c>
      <c r="E61" s="30" t="inlineStr">
        <is>
          <t>Pending – decision needed</t>
        </is>
      </c>
      <c r="F61" s="30" t="inlineStr">
        <is>
          <t>HR + Ministry contact</t>
        </is>
      </c>
      <c r="G61" s="30" t="inlineStr">
        <is>
          <t>Medium</t>
        </is>
      </c>
      <c r="H61" s="31" t="inlineStr">
        <is>
          <t>Current rule: National ID and Iqama = exactly 10 digits (real format). Ministry document says civil registry 9–10 digits.</t>
        </is>
      </c>
      <c r="I61" s="31" t="inlineStr">
        <is>
          <t>Confirm whether 9-digit numbers must be accepted.</t>
        </is>
      </c>
      <c r="J61" s="31" t="inlineStr">
        <is>
          <t>ministry_lookup_validation.py</t>
        </is>
      </c>
    </row>
    <row r="62">
      <c r="A62" s="29" t="inlineStr">
        <is>
          <t>HR-53</t>
        </is>
      </c>
      <c r="B62" s="30" t="inlineStr">
        <is>
          <t>Data</t>
        </is>
      </c>
      <c r="C62" s="31" t="inlineStr">
        <is>
          <t>Demo employee EMP-00001 misses mandatory Ministry fields</t>
        </is>
      </c>
      <c r="D62" s="30" t="inlineStr">
        <is>
          <t>—</t>
        </is>
      </c>
      <c r="E62" s="30" t="inlineStr">
        <is>
          <t>Pending – data / setup</t>
        </is>
      </c>
      <c r="F62" s="30" t="inlineStr">
        <is>
          <t>HR</t>
        </is>
      </c>
      <c r="G62" s="30" t="inlineStr">
        <is>
          <t>Low</t>
        </is>
      </c>
      <c r="H62" s="31" t="inlineStr">
        <is>
          <t>It can't be saved again until completed. Belongs to the demo company 'Medical College'.</t>
        </is>
      </c>
      <c r="I62" s="31" t="inlineStr">
        <is>
          <t>Complete or delete the demo record before go-live.</t>
        </is>
      </c>
      <c r="J62" s="31" t="inlineStr">
        <is>
          <t>Employee EMP-00001</t>
        </is>
      </c>
    </row>
    <row r="63">
      <c r="A63" s="29" t="inlineStr">
        <is>
          <t>HR-54</t>
        </is>
      </c>
      <c r="B63" s="30" t="inlineStr">
        <is>
          <t>Data</t>
        </is>
      </c>
      <c r="C63" s="31" t="inlineStr">
        <is>
          <t>Website logo file missing (/files/rchs-logo.png)</t>
        </is>
      </c>
      <c r="D63" s="30" t="inlineStr">
        <is>
          <t>—</t>
        </is>
      </c>
      <c r="E63" s="30" t="inlineStr">
        <is>
          <t>Pending – data / setup</t>
        </is>
      </c>
      <c r="F63" s="30" t="inlineStr">
        <is>
          <t>Server admin</t>
        </is>
      </c>
      <c r="G63" s="30" t="inlineStr">
        <is>
          <t>Low</t>
        </is>
      </c>
      <c r="H63" s="31" t="inlineStr">
        <is>
          <t>Missing on the local copy; every page requests it.</t>
        </is>
      </c>
      <c r="I63" s="31" t="inlineStr">
        <is>
          <t>Check the file exists on the live server.</t>
        </is>
      </c>
      <c r="J63" s="31" t="inlineStr">
        <is>
          <t>Website Settings</t>
        </is>
      </c>
    </row>
    <row r="64">
      <c r="A64" s="29" t="inlineStr">
        <is>
          <t>HR-55</t>
        </is>
      </c>
      <c r="B64" s="30" t="inlineStr">
        <is>
          <t>Data</t>
        </is>
      </c>
      <c r="C64" s="31" t="inlineStr">
        <is>
          <t>Link the 216 existing Instructors to Employees</t>
        </is>
      </c>
      <c r="D64" s="30" t="inlineStr">
        <is>
          <t>—</t>
        </is>
      </c>
      <c r="E64" s="30" t="inlineStr">
        <is>
          <t>Pending – data / setup</t>
        </is>
      </c>
      <c r="F64" s="30" t="inlineStr">
        <is>
          <t>HR</t>
        </is>
      </c>
      <c r="G64" s="30" t="inlineStr">
        <is>
          <t>High</t>
        </is>
      </c>
      <c r="H64" s="31" t="inlineStr">
        <is>
          <t>Tool ready (HR-35). 1 of 216 linked.</t>
        </is>
      </c>
      <c r="I64" s="31" t="inlineStr">
        <is>
          <t>HR fills the Instructor data sheet; run the import with commit.</t>
        </is>
      </c>
      <c r="J64" s="31" t="inlineStr">
        <is>
          <t>instructor_data_sheet.py</t>
        </is>
      </c>
    </row>
    <row r="65">
      <c r="A65" s="29" t="inlineStr">
        <is>
          <t>HR-56</t>
        </is>
      </c>
      <c r="B65" s="30" t="inlineStr">
        <is>
          <t>Academic presence</t>
        </is>
      </c>
      <c r="C65" s="31" t="inlineStr">
        <is>
          <t>Connect attendance devices</t>
        </is>
      </c>
      <c r="D65" s="30" t="inlineStr">
        <is>
          <t>—</t>
        </is>
      </c>
      <c r="E65" s="30" t="inlineStr">
        <is>
          <t>Pending – data / setup</t>
        </is>
      </c>
      <c r="F65" s="30" t="inlineStr">
        <is>
          <t>HR + IT</t>
        </is>
      </c>
      <c r="G65" s="30" t="inlineStr">
        <is>
          <t>Medium</t>
        </is>
      </c>
      <c r="H65" s="31" t="inlineStr">
        <is>
          <t>Presence page already uses device check-ins when they exist (HRMS Employee Checkin).</t>
        </is>
      </c>
      <c r="I65" s="31" t="inlineStr">
        <is>
          <t>Connect devices; map device user IDs to Employees.</t>
        </is>
      </c>
      <c r="J65" s="31" t="inlineStr">
        <is>
          <t>bfac883</t>
        </is>
      </c>
    </row>
    <row r="66">
      <c r="A66" s="29" t="inlineStr">
        <is>
          <t>HR-57</t>
        </is>
      </c>
      <c r="B66" s="30" t="inlineStr">
        <is>
          <t>Academic presence</t>
        </is>
      </c>
      <c r="C66" s="31" t="inlineStr">
        <is>
          <t>Set the Academic Holiday List</t>
        </is>
      </c>
      <c r="D66" s="30" t="inlineStr">
        <is>
          <t>—</t>
        </is>
      </c>
      <c r="E66" s="30" t="inlineStr">
        <is>
          <t>Pending – data / setup</t>
        </is>
      </c>
      <c r="F66" s="30" t="inlineStr">
        <is>
          <t>HR</t>
        </is>
      </c>
      <c r="G66" s="30" t="inlineStr">
        <is>
          <t>Medium</t>
        </is>
      </c>
      <c r="H66" s="31" t="inlineStr">
        <is>
          <t>Not set; the page warns about it.</t>
        </is>
      </c>
      <c r="I66" s="31" t="inlineStr">
        <is>
          <t>HR Settings -&gt; Academic Holiday List; tick event types that suspend classes.</t>
        </is>
      </c>
      <c r="J66" s="31" t="inlineStr">
        <is>
          <t>academic_presence_setup.py</t>
        </is>
      </c>
    </row>
    <row r="67">
      <c r="A67" s="29" t="inlineStr">
        <is>
          <t>HR-58</t>
        </is>
      </c>
      <c r="B67" s="30" t="inlineStr">
        <is>
          <t>Deployment</t>
        </is>
      </c>
      <c r="C67" s="31" t="inlineStr">
        <is>
          <t>Deploy to the live server</t>
        </is>
      </c>
      <c r="D67" s="30" t="inlineStr">
        <is>
          <t>—</t>
        </is>
      </c>
      <c r="E67" s="30" t="inlineStr">
        <is>
          <t>Pending – data / setup</t>
        </is>
      </c>
      <c r="F67" s="30" t="inlineStr">
        <is>
          <t>Abdul Hakeem + Server admin</t>
        </is>
      </c>
      <c r="G67" s="30" t="inlineStr">
        <is>
          <t>High</t>
        </is>
      </c>
      <c r="H67" s="31" t="inlineStr">
        <is>
          <t>Branches pushed: fix/hrm-e2e-approval-permission-bugs, feature/jameah-ministry-views (contains both).</t>
        </is>
      </c>
      <c r="I67" s="31" t="inlineStr">
        <is>
          <t>Merge, pull on the server, bench migrate, restart; smoke-test with the Test Cases workbook.</t>
        </is>
      </c>
      <c r="J67" s="31" t="inlineStr">
        <is>
          <t>GitHub phpdevpro/edu-alriyada-hrm</t>
        </is>
      </c>
    </row>
    <row r="68">
      <c r="A68" s="29" t="inlineStr">
        <is>
          <t>JM-01</t>
        </is>
      </c>
      <c r="B68" s="30" t="inlineStr">
        <is>
          <t>Jameah</t>
        </is>
      </c>
      <c r="C68" s="31" t="inlineStr">
        <is>
          <t>Research: Jameah system, Ministry documents, view contract</t>
        </is>
      </c>
      <c r="D68" s="30" t="inlineStr">
        <is>
          <t>19 Oct 2026</t>
        </is>
      </c>
      <c r="E68" s="30" t="inlineStr">
        <is>
          <t>Done</t>
        </is>
      </c>
      <c r="F68" s="30" t="inlineStr">
        <is>
          <t>Abdul Hakeem</t>
        </is>
      </c>
      <c r="G68" s="30" t="inlineStr">
        <is>
          <t>High</t>
        </is>
      </c>
      <c r="H68" s="31" t="inlineStr">
        <is>
          <t>Ministry schema V0.1, field mapping HTML, 'Views Data' PDF and code workbooks reviewed; findings shared.</t>
        </is>
      </c>
      <c r="I68" s="31" t="inlineStr">
        <is>
          <t>None.</t>
        </is>
      </c>
      <c r="J68" s="31" t="inlineStr">
        <is>
          <t>Jameah report</t>
        </is>
      </c>
    </row>
    <row r="69">
      <c r="A69" s="29" t="inlineStr">
        <is>
          <t>JM-02</t>
        </is>
      </c>
      <c r="B69" s="30" t="inlineStr">
        <is>
          <t>Jameah</t>
        </is>
      </c>
      <c r="C69" s="31" t="inlineStr">
        <is>
          <t>Ministry views for Employees (5) and Students (10)</t>
        </is>
      </c>
      <c r="D69" s="30" t="inlineStr">
        <is>
          <t>20 Oct 2026</t>
        </is>
      </c>
      <c r="E69" s="30" t="inlineStr">
        <is>
          <t>Done</t>
        </is>
      </c>
      <c r="F69" s="30" t="inlineStr">
        <is>
          <t>Abdul Hakeem</t>
        </is>
      </c>
      <c r="G69" s="30" t="inlineStr">
        <is>
          <t>Critical</t>
        </is>
      </c>
      <c r="H69" s="31" t="inlineStr">
        <is>
          <t>15 views with the HTML column names; Ministry codes only; faculty excluded from Employee views; source records never changed.</t>
        </is>
      </c>
      <c r="I69" s="31" t="inlineStr">
        <is>
          <t>Deploy (HR-58).</t>
        </is>
      </c>
      <c r="J69" s="31" t="inlineStr">
        <is>
          <t>d690cb7; jameah/views.py; jameah/VIEWS.md</t>
        </is>
      </c>
    </row>
    <row r="70">
      <c r="A70" s="29" t="inlineStr">
        <is>
          <t>JM-03</t>
        </is>
      </c>
      <c r="B70" s="30" t="inlineStr">
        <is>
          <t>Jameah</t>
        </is>
      </c>
      <c r="C70" s="31" t="inlineStr">
        <is>
          <t>Code crosswalk (Jameah Code Map)</t>
        </is>
      </c>
      <c r="D70" s="30" t="inlineStr">
        <is>
          <t>20 Oct 2026</t>
        </is>
      </c>
      <c r="E70" s="30" t="inlineStr">
        <is>
          <t>Done</t>
        </is>
      </c>
      <c r="F70" s="30" t="inlineStr">
        <is>
          <t>Abdul Hakeem</t>
        </is>
      </c>
      <c r="G70" s="30" t="inlineStr">
        <is>
          <t>High</t>
        </is>
      </c>
      <c r="H70" s="31" t="inlineStr">
        <is>
          <t>299 college values mapped to official codes by meaning; wrong codes in Education masters (City 90, REL001...) no longer reach the Ministry.</t>
        </is>
      </c>
      <c r="I70" s="31" t="inlineStr">
        <is>
          <t>Review 3 values (JM-11).</t>
        </is>
      </c>
      <c r="J70" s="31" t="inlineStr">
        <is>
          <t>jameah/code_map.py</t>
        </is>
      </c>
    </row>
    <row r="71">
      <c r="A71" s="29" t="inlineStr">
        <is>
          <t>JM-04</t>
        </is>
      </c>
      <c r="B71" s="30" t="inlineStr">
        <is>
          <t>Jameah</t>
        </is>
      </c>
      <c r="C71" s="31" t="inlineStr">
        <is>
          <t>Jameah Settings</t>
        </is>
      </c>
      <c r="D71" s="30" t="inlineStr">
        <is>
          <t>20 Oct 2026</t>
        </is>
      </c>
      <c r="E71" s="30" t="inlineStr">
        <is>
          <t>Done</t>
        </is>
      </c>
      <c r="F71" s="30" t="inlineStr">
        <is>
          <t>Abdul Hakeem</t>
        </is>
      </c>
      <c r="G71" s="30" t="inlineStr">
        <is>
          <t>High</t>
        </is>
      </c>
      <c r="H71" s="31" t="inlineStr">
        <is>
          <t>Institution values; P18, country 101 and GPA type pre-filled.</t>
        </is>
      </c>
      <c r="I71" s="31" t="inlineStr">
        <is>
          <t>Fill 6 values (JM-10).</t>
        </is>
      </c>
      <c r="J71" s="31" t="inlineStr">
        <is>
          <t>Jameah Settings</t>
        </is>
      </c>
    </row>
    <row r="72">
      <c r="A72" s="29" t="inlineStr">
        <is>
          <t>JM-05</t>
        </is>
      </c>
      <c r="B72" s="30" t="inlineStr">
        <is>
          <t>Jameah</t>
        </is>
      </c>
      <c r="C72" s="31" t="inlineStr">
        <is>
          <t>Academic figures (GPA, credit hours) refreshed hourly</t>
        </is>
      </c>
      <c r="D72" s="30" t="inlineStr">
        <is>
          <t>20 Oct 2026</t>
        </is>
      </c>
      <c r="E72" s="30" t="inlineStr">
        <is>
          <t>Done</t>
        </is>
      </c>
      <c r="F72" s="30" t="inlineStr">
        <is>
          <t>Abdul Hakeem</t>
        </is>
      </c>
      <c r="G72" s="30" t="inlineStr">
        <is>
          <t>High</t>
        </is>
      </c>
      <c r="H72" s="31" t="inlineStr">
        <is>
          <t>Follows the transcript; view answers in ~3 s instead of 30 s.</t>
        </is>
      </c>
      <c r="I72" s="31" t="inlineStr">
        <is>
          <t>None.</t>
        </is>
      </c>
      <c r="J72" s="31" t="inlineStr">
        <is>
          <t>jameah/summary.py</t>
        </is>
      </c>
    </row>
    <row r="73">
      <c r="A73" s="29" t="inlineStr">
        <is>
          <t>JM-06</t>
        </is>
      </c>
      <c r="B73" s="30" t="inlineStr">
        <is>
          <t>Jameah</t>
        </is>
      </c>
      <c r="C73" s="31" t="inlineStr">
        <is>
          <t>Independent verification of every view</t>
        </is>
      </c>
      <c r="D73" s="30" t="inlineStr">
        <is>
          <t>20 Oct 2026</t>
        </is>
      </c>
      <c r="E73" s="30" t="inlineStr">
        <is>
          <t>Done</t>
        </is>
      </c>
      <c r="F73" s="30" t="inlineStr">
        <is>
          <t>Abdul Hakeem</t>
        </is>
      </c>
      <c r="G73" s="30" t="inlineStr">
        <is>
          <t>Critical</t>
        </is>
      </c>
      <c r="H73" s="31" t="inlineStr">
        <is>
          <t>All 15 views match the source records value by value; 0 invalid codes. Re-run 21 Oct after the Education update (JM-18): all 15 OK.</t>
        </is>
      </c>
      <c r="I73" s="31" t="inlineStr">
        <is>
          <t>Re-run after data changes: bench execute medical_hrms.jameah.verify.run</t>
        </is>
      </c>
      <c r="J73" s="31" t="inlineStr">
        <is>
          <t>jameah/verify.py; test_jameah.py</t>
        </is>
      </c>
    </row>
    <row r="74">
      <c r="A74" s="29" t="inlineStr">
        <is>
          <t>JM-18</t>
        </is>
      </c>
      <c r="B74" s="30" t="inlineStr">
        <is>
          <t>Jameah</t>
        </is>
      </c>
      <c r="C74" s="31" t="inlineStr">
        <is>
          <t>Ministry GPA and credit hours = the college's official figures</t>
        </is>
      </c>
      <c r="D74" s="30" t="inlineStr">
        <is>
          <t>21 Oct 2026</t>
        </is>
      </c>
      <c r="E74" s="30" t="inlineStr">
        <is>
          <t>Done</t>
        </is>
      </c>
      <c r="F74" s="30" t="inlineStr">
        <is>
          <t>Abdul Hakeem</t>
        </is>
      </c>
      <c r="G74" s="30" t="inlineStr">
        <is>
          <t>Critical</t>
        </is>
      </c>
      <c r="H74" s="31" t="inlineStr">
        <is>
          <t>Found 21 Oct: Education's master branch now has one official GPA calculation (retakes, superseded fails, XF/W, legacy baselines) and one for credit hours. Our views still used the old rules: GPA differed from the transcript for 1,197 of 2,854 students and required hours for ~10%. The hourly summary now reads Education's official functions (read only, no change to Education); verified: GPA equals the transcript for 2,854 of 2,854 students; all 15 views OK. Refresh moved to the long queue (~7 min).</t>
        </is>
      </c>
      <c r="I74" s="31" t="inlineStr">
        <is>
          <t>Deploy together with the Education master update (HR-58); re-run verify on the live server.</t>
        </is>
      </c>
      <c r="J74" s="31" t="inlineStr">
        <is>
          <t>jameah/summary.py; jameah/verify.py</t>
        </is>
      </c>
    </row>
    <row r="75">
      <c r="A75" s="29" t="inlineStr">
        <is>
          <t>JM-07</t>
        </is>
      </c>
      <c r="B75" s="30" t="inlineStr">
        <is>
          <t>Jameah</t>
        </is>
      </c>
      <c r="C75" s="31" t="inlineStr">
        <is>
          <t>Jameah Data Check page and Employee preview</t>
        </is>
      </c>
      <c r="D75" s="30" t="inlineStr">
        <is>
          <t>20 Oct 2026</t>
        </is>
      </c>
      <c r="E75" s="30" t="inlineStr">
        <is>
          <t>Done</t>
        </is>
      </c>
      <c r="F75" s="30" t="inlineStr">
        <is>
          <t>Abdul Hakeem</t>
        </is>
      </c>
      <c r="G75" s="30" t="inlineStr">
        <is>
          <t>High</t>
        </is>
      </c>
      <c r="H75" s="31" t="inlineStr">
        <is>
          <t>HR sees gaps, invalid codes, settings to fill and source problems; 'Ministry (Jameah) Data' button on the Employee form.</t>
        </is>
      </c>
      <c r="I75" s="31" t="inlineStr">
        <is>
          <t>None.</t>
        </is>
      </c>
      <c r="J75" s="31" t="inlineStr">
        <is>
          <t>page/jameah_data_check</t>
        </is>
      </c>
    </row>
    <row r="76">
      <c r="A76" s="29" t="inlineStr">
        <is>
          <t>JM-08</t>
        </is>
      </c>
      <c r="B76" s="30" t="inlineStr">
        <is>
          <t>Jameah</t>
        </is>
      </c>
      <c r="C76" s="31" t="inlineStr">
        <is>
          <t>Read-only database account for the Ministry agent</t>
        </is>
      </c>
      <c r="D76" s="30" t="inlineStr">
        <is>
          <t>—</t>
        </is>
      </c>
      <c r="E76" s="30" t="inlineStr">
        <is>
          <t>Pending – data / setup</t>
        </is>
      </c>
      <c r="F76" s="30" t="inlineStr">
        <is>
          <t>Server admin</t>
        </is>
      </c>
      <c r="G76" s="30" t="inlineStr">
        <is>
          <t>High</t>
        </is>
      </c>
      <c r="H76" s="31" t="inlineStr">
        <is>
          <t>SQL generated by medical_hrms.jameah.views.grant_statements.</t>
        </is>
      </c>
      <c r="I76" s="31" t="inlineStr">
        <is>
          <t>Create the account on the live server; give the Ministry host, port, database, user, password.</t>
        </is>
      </c>
      <c r="J76" s="31" t="inlineStr">
        <is>
          <t>jameah/README.md</t>
        </is>
      </c>
    </row>
    <row r="77">
      <c r="A77" s="29" t="inlineStr">
        <is>
          <t>JM-09</t>
        </is>
      </c>
      <c r="B77" s="30" t="inlineStr">
        <is>
          <t>Jameah</t>
        </is>
      </c>
      <c r="C77" s="31" t="inlineStr">
        <is>
          <t>Confirm view and column names with the Ministry</t>
        </is>
      </c>
      <c r="D77" s="30" t="inlineStr">
        <is>
          <t>—</t>
        </is>
      </c>
      <c r="E77" s="30" t="inlineStr">
        <is>
          <t>Pending – decision needed</t>
        </is>
      </c>
      <c r="F77" s="30" t="inlineStr">
        <is>
          <t>Ministry contact (Ms. Najah)</t>
        </is>
      </c>
      <c r="G77" s="30" t="inlineStr">
        <is>
          <t>Critical</t>
        </is>
      </c>
      <c r="H77" s="31" t="inlineStr">
        <is>
          <t>Views use the HTML names; Ministry schema V0.1 names some columns differently (list in the Jameah report).</t>
        </is>
      </c>
      <c r="I77" s="31" t="inlineStr">
        <is>
          <t>Ask which names the Jameah agent reads; renaming is a small change.</t>
        </is>
      </c>
      <c r="J77" s="31" t="inlineStr">
        <is>
          <t>Jameah report</t>
        </is>
      </c>
    </row>
    <row r="78">
      <c r="A78" s="29" t="inlineStr">
        <is>
          <t>JM-10</t>
        </is>
      </c>
      <c r="B78" s="30" t="inlineStr">
        <is>
          <t>Jameah</t>
        </is>
      </c>
      <c r="C78" s="31" t="inlineStr">
        <is>
          <t>Fill Jameah Settings (6 values)</t>
        </is>
      </c>
      <c r="D78" s="30" t="inlineStr">
        <is>
          <t>—</t>
        </is>
      </c>
      <c r="E78" s="30" t="inlineStr">
        <is>
          <t>Pending – decision needed</t>
        </is>
      </c>
      <c r="F78" s="30" t="inlineStr">
        <is>
          <t>Academic Affairs</t>
        </is>
      </c>
      <c r="G78" s="30" t="inlineStr">
        <is>
          <t>High</t>
        </is>
      </c>
      <c r="H78" s="31" t="inlineStr">
        <is>
          <t>Empty values are sent as empty.</t>
        </is>
      </c>
      <c r="I78" s="31" t="inlineStr">
        <is>
          <t>College code, campus city, study type (regular/bridging), program duration and unit.</t>
        </is>
      </c>
      <c r="J78" s="31" t="inlineStr">
        <is>
          <t>/app/jameah-settings</t>
        </is>
      </c>
    </row>
    <row r="79">
      <c r="A79" s="29" t="inlineStr">
        <is>
          <t>JM-11</t>
        </is>
      </c>
      <c r="B79" s="30" t="inlineStr">
        <is>
          <t>Jameah</t>
        </is>
      </c>
      <c r="C79" s="31" t="inlineStr">
        <is>
          <t>Map 3 college values to Ministry codes</t>
        </is>
      </c>
      <c r="D79" s="30" t="inlineStr">
        <is>
          <t>—</t>
        </is>
      </c>
      <c r="E79" s="30" t="inlineStr">
        <is>
          <t>Pending – decision needed</t>
        </is>
      </c>
      <c r="F79" s="30" t="inlineStr">
        <is>
          <t>Academic Affairs</t>
        </is>
      </c>
      <c r="G79" s="30" t="inlineStr">
        <is>
          <t>High</t>
        </is>
      </c>
      <c r="H79" s="31" t="inlineStr">
        <is>
          <t>Program 'Bachelor of Science in Nursing' -&gt; department; Major 'Sciences in Nursing'; status 'Internship' (238 students).</t>
        </is>
      </c>
      <c r="I79" s="31" t="inlineStr">
        <is>
          <t>Pick the code in Jameah Code Map and set Verified.</t>
        </is>
      </c>
      <c r="J79" s="31" t="inlineStr">
        <is>
          <t>/app/jameah-code-map</t>
        </is>
      </c>
    </row>
    <row r="80">
      <c r="A80" s="29" t="inlineStr">
        <is>
          <t>JM-12</t>
        </is>
      </c>
      <c r="B80" s="30" t="inlineStr">
        <is>
          <t>Jameah</t>
        </is>
      </c>
      <c r="C80" s="31" t="inlineStr">
        <is>
          <t>Ministry fields with no source in the college system</t>
        </is>
      </c>
      <c r="D80" s="30" t="inlineStr">
        <is>
          <t>—</t>
        </is>
      </c>
      <c r="E80" s="30" t="inlineStr">
        <is>
          <t>Pending – decision needed</t>
        </is>
      </c>
      <c r="F80" s="30" t="inlineStr">
        <is>
          <t>Academic Affairs + Education team</t>
        </is>
      </c>
      <c r="G80" s="30" t="inlineStr">
        <is>
          <t>Medium</t>
        </is>
      </c>
      <c r="H80" s="31" t="inlineStr">
        <is>
          <t>Scholarship, visa, warnings, rewards, clearance, thesis, evaluation grade, major type, language and relationship lists are sent empty.</t>
        </is>
      </c>
      <c r="I80" s="31" t="inlineStr">
        <is>
          <t>Decide which to capture (Student Ministry Detail is filled for 1,256 of 3,357 students).</t>
        </is>
      </c>
      <c r="J80" s="31" t="inlineStr">
        <is>
          <t>Jameah report</t>
        </is>
      </c>
    </row>
    <row r="81">
      <c r="A81" s="29" t="inlineStr">
        <is>
          <t>JM-13</t>
        </is>
      </c>
      <c r="B81" s="30" t="inlineStr">
        <is>
          <t>Jameah</t>
        </is>
      </c>
      <c r="C81" s="31" t="inlineStr">
        <is>
          <t>Correct source data found by the checks</t>
        </is>
      </c>
      <c r="D81" s="30" t="inlineStr">
        <is>
          <t>—</t>
        </is>
      </c>
      <c r="E81" s="30" t="inlineStr">
        <is>
          <t>Pending – data / setup</t>
        </is>
      </c>
      <c r="F81" s="30" t="inlineStr">
        <is>
          <t>Registrar / Education team</t>
        </is>
      </c>
      <c r="G81" s="30" t="inlineStr">
        <is>
          <t>High</t>
        </is>
      </c>
      <c r="H81" s="31" t="inlineStr">
        <is>
          <t>1,067 graduates still 'Enrolled'; 1,378 students on plans with no total credits; 1,266 relative addresses in Sri Lanka; 240 placeholder birth dates; 39 graduates without a graduate document; 7 enrollments without date; 6 orphan rows.</t>
        </is>
      </c>
      <c r="I81" s="31" t="inlineStr">
        <is>
          <t>Fix at the source; the Jameah Data Check page shows the counts.</t>
        </is>
      </c>
      <c r="J81" s="31" t="inlineStr">
        <is>
          <t>/app/jameah-data-check</t>
        </is>
      </c>
    </row>
    <row r="82">
      <c r="A82" s="29" t="inlineStr">
        <is>
          <t>JM-14</t>
        </is>
      </c>
      <c r="B82" s="30" t="inlineStr">
        <is>
          <t>Jameah</t>
        </is>
      </c>
      <c r="C82" s="31" t="inlineStr">
        <is>
          <t>Faculty views (8 sections)</t>
        </is>
      </c>
      <c r="D82" s="30" t="inlineStr">
        <is>
          <t>—</t>
        </is>
      </c>
      <c r="E82" s="30" t="inlineStr">
        <is>
          <t>Pending – development</t>
        </is>
      </c>
      <c r="F82" s="30" t="inlineStr">
        <is>
          <t>Abdul Hakeem</t>
        </is>
      </c>
      <c r="G82" s="30" t="inlineStr">
        <is>
          <t>High</t>
        </is>
      </c>
      <c r="H82" s="31" t="inlineStr">
        <is>
          <t>Not started (this round covered Employees and Students).</t>
        </is>
      </c>
      <c r="I82" s="31" t="inlineStr">
        <is>
          <t>Build and verify the same way.</t>
        </is>
      </c>
      <c r="J82" s="31" t="inlineStr">
        <is>
          <t>MINISTRY_FIELD_MAPPING.html</t>
        </is>
      </c>
    </row>
    <row r="83">
      <c r="A83" s="29" t="inlineStr">
        <is>
          <t>JM-15</t>
        </is>
      </c>
      <c r="B83" s="30" t="inlineStr">
        <is>
          <t>Jameah</t>
        </is>
      </c>
      <c r="C83" s="31" t="inlineStr">
        <is>
          <t>Institute views (20 sections)</t>
        </is>
      </c>
      <c r="D83" s="30" t="inlineStr">
        <is>
          <t>—</t>
        </is>
      </c>
      <c r="E83" s="30" t="inlineStr">
        <is>
          <t>Pending – development</t>
        </is>
      </c>
      <c r="F83" s="30" t="inlineStr">
        <is>
          <t>Abdul Hakeem</t>
        </is>
      </c>
      <c r="G83" s="30" t="inlineStr">
        <is>
          <t>Medium</t>
        </is>
      </c>
      <c r="H83" s="31" t="inlineStr">
        <is>
          <t>Not started.</t>
        </is>
      </c>
      <c r="I83" s="31" t="inlineStr">
        <is>
          <t>Build after Faculty; needs institute data from HR.</t>
        </is>
      </c>
      <c r="J83" s="31" t="inlineStr">
        <is>
          <t>MINISTRY_FIELD_MAPPING.html</t>
        </is>
      </c>
    </row>
    <row r="84">
      <c r="A84" s="29" t="inlineStr">
        <is>
          <t>JM-16</t>
        </is>
      </c>
      <c r="B84" s="30" t="inlineStr">
        <is>
          <t>Jameah</t>
        </is>
      </c>
      <c r="C84" s="31" t="inlineStr">
        <is>
          <t>Old Education viewJameah* views (42)</t>
        </is>
      </c>
      <c r="D84" s="30" t="inlineStr">
        <is>
          <t>—</t>
        </is>
      </c>
      <c r="E84" s="30" t="inlineStr">
        <is>
          <t>Pending – other team</t>
        </is>
      </c>
      <c r="F84" s="30" t="inlineStr">
        <is>
          <t>Education team</t>
        </is>
      </c>
      <c r="G84" s="30" t="inlineStr">
        <is>
          <t>Low</t>
        </is>
      </c>
      <c r="H84" s="31" t="inlineStr">
        <is>
          <t>Left untouched; they send record names and NULLs in places. Ours are named jameah*.</t>
        </is>
      </c>
      <c r="I84" s="31" t="inlineStr">
        <is>
          <t>Education team to retire them once ours are confirmed.</t>
        </is>
      </c>
      <c r="J84" s="31" t="inlineStr">
        <is>
          <t>education/jameah_system</t>
        </is>
      </c>
    </row>
    <row r="85">
      <c r="A85" s="29" t="inlineStr">
        <is>
          <t>JM-17</t>
        </is>
      </c>
      <c r="B85" s="30" t="inlineStr">
        <is>
          <t>Jameah</t>
        </is>
      </c>
      <c r="C85" s="31" t="inlineStr">
        <is>
          <t>Transcript GPA rounding at exact ties</t>
        </is>
      </c>
      <c r="D85" s="30" t="inlineStr">
        <is>
          <t>21 Oct 2026</t>
        </is>
      </c>
      <c r="E85" s="30" t="inlineStr">
        <is>
          <t>Done</t>
        </is>
      </c>
      <c r="F85" s="30" t="inlineStr">
        <is>
          <t>Education team</t>
        </is>
      </c>
      <c r="G85" s="30" t="inlineStr">
        <is>
          <t>Low</t>
        </is>
      </c>
      <c r="H85" s="31" t="inlineStr">
        <is>
          <t>Resolved by Education's new GPA module (exact half-up rounding); the views now use it (JM-18).</t>
        </is>
      </c>
      <c r="I85" s="31" t="inlineStr">
        <is>
          <t>None.</t>
        </is>
      </c>
      <c r="J85" s="31" t="inlineStr">
        <is>
          <t>Jameah report</t>
        </is>
      </c>
    </row>
  </sheetData>
  <autoFilter ref="A1:J85"/>
  <conditionalFormatting sqref="A2:J285">
    <cfRule type="expression" priority="1" dxfId="0">
      <formula>$E2="Done"</formula>
    </cfRule>
    <cfRule type="expression" priority="2" dxfId="1">
      <formula>$E2="Done – client UAT pending"</formula>
    </cfRule>
    <cfRule type="expression" priority="3" dxfId="2">
      <formula>$E2="In progress"</formula>
    </cfRule>
    <cfRule type="expression" priority="4" dxfId="3">
      <formula>$E2="Pending – decision needed"</formula>
    </cfRule>
    <cfRule type="expression" priority="5" dxfId="4">
      <formula>$E2="Pending – data / setup"</formula>
    </cfRule>
    <cfRule type="expression" priority="6" dxfId="5">
      <formula>$E2="Pending – development"</formula>
    </cfRule>
    <cfRule type="expression" priority="7" dxfId="6">
      <formula>$E2="Pending – other team"</formula>
    </cfRule>
    <cfRule type="expression" priority="8" dxfId="7">
      <formula>$E2="Planned"</formula>
    </cfRule>
  </conditionalFormatting>
  <dataValidations count="2">
    <dataValidation sqref="E2:E285" showDropDown="0" showInputMessage="0" showErrorMessage="0" allowBlank="0" errorTitle="Status" error="Pick a status from the list." type="list">
      <formula1>"Done,Done – client UAT pending,In progress,Pending – decision needed,Pending – data / setup,Pending – development,Pending – other team,Planned"</formula1>
    </dataValidation>
    <dataValidation sqref="G2:G285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20" customWidth="1" min="3" max="3"/>
    <col width="46" customWidth="1" min="4" max="4"/>
    <col width="42" customWidth="1" min="5" max="5"/>
    <col width="40" customWidth="1" min="6" max="6"/>
    <col width="13" customWidth="1" min="7" max="7"/>
    <col width="18" customWidth="1" min="8" max="8"/>
    <col width="20" customWidth="1" min="9" max="9"/>
  </cols>
  <sheetData>
    <row r="1" ht="30" customHeight="1">
      <c r="A1" s="17" t="inlineStr">
        <is>
          <t>Bug ID</t>
        </is>
      </c>
      <c r="B1" s="17" t="inlineStr">
        <is>
          <t>Found on</t>
        </is>
      </c>
      <c r="C1" s="17" t="inlineStr">
        <is>
          <t>Area</t>
        </is>
      </c>
      <c r="D1" s="17" t="inlineStr">
        <is>
          <t>Problem</t>
        </is>
      </c>
      <c r="E1" s="17" t="inlineStr">
        <is>
          <t>Cause</t>
        </is>
      </c>
      <c r="F1" s="17" t="inlineStr">
        <is>
          <t>Fix</t>
        </is>
      </c>
      <c r="G1" s="17" t="inlineStr">
        <is>
          <t>Commit / task</t>
        </is>
      </c>
      <c r="H1" s="17" t="inlineStr">
        <is>
          <t>Status</t>
        </is>
      </c>
      <c r="I1" s="17" t="inlineStr">
        <is>
          <t>How verified</t>
        </is>
      </c>
    </row>
    <row r="2">
      <c r="A2" s="30" t="inlineStr">
        <is>
          <t>B-01</t>
        </is>
      </c>
      <c r="B2" s="30" t="inlineStr">
        <is>
          <t>19 Oct 2026</t>
        </is>
      </c>
      <c r="C2" s="30" t="inlineStr">
        <is>
          <t>Travel Request</t>
        </is>
      </c>
      <c r="D2" s="31" t="inlineStr">
        <is>
          <t>Every save crashed</t>
        </is>
      </c>
      <c r="E2" s="31" t="inlineStr">
        <is>
          <t>Validation read fields that don't exist</t>
        </is>
      </c>
      <c r="F2" s="31" t="inlineStr">
        <is>
          <t>Cost read from costings, checked on submit</t>
        </is>
      </c>
      <c r="G2" s="30" t="inlineStr">
        <is>
          <t>91b7697</t>
        </is>
      </c>
      <c r="H2" s="30" t="inlineStr">
        <is>
          <t>Fixed</t>
        </is>
      </c>
      <c r="I2" s="31" t="inlineStr">
        <is>
          <t>E2E 19 Oct</t>
        </is>
      </c>
    </row>
    <row r="3">
      <c r="A3" s="30" t="inlineStr">
        <is>
          <t>B-02</t>
        </is>
      </c>
      <c r="B3" s="30" t="inlineStr">
        <is>
          <t>19 Oct 2026</t>
        </is>
      </c>
      <c r="C3" s="30" t="inlineStr">
        <is>
          <t>Approvals</t>
        </is>
      </c>
      <c r="D3" s="31" t="inlineStr">
        <is>
          <t>Finance approval impossible</t>
        </is>
      </c>
      <c r="E3" s="31" t="inlineStr">
        <is>
          <t>Hooks accepted only Finance Manager, which had no access</t>
        </is>
      </c>
      <c r="F3" s="31" t="inlineStr">
        <is>
          <t>Accept Finance Manager or Accounts Manager; grant access</t>
        </is>
      </c>
      <c r="G3" s="30" t="inlineStr">
        <is>
          <t>91b7697</t>
        </is>
      </c>
      <c r="H3" s="30" t="inlineStr">
        <is>
          <t>Fixed</t>
        </is>
      </c>
      <c r="I3" s="31" t="inlineStr">
        <is>
          <t>E2E 19 Oct</t>
        </is>
      </c>
    </row>
    <row r="4">
      <c r="A4" s="30" t="inlineStr">
        <is>
          <t>B-03</t>
        </is>
      </c>
      <c r="B4" s="30" t="inlineStr">
        <is>
          <t>19 Oct 2026</t>
        </is>
      </c>
      <c r="C4" s="30" t="inlineStr">
        <is>
          <t>Return from Leave</t>
        </is>
      </c>
      <c r="D4" s="31" t="inlineStr">
        <is>
          <t>Employees could not send the request</t>
        </is>
      </c>
      <c r="E4" s="31" t="inlineStr">
        <is>
          <t>Clearance guard compared against the wrong default</t>
        </is>
      </c>
      <c r="F4" s="31" t="inlineStr">
        <is>
          <t>Compare with the Select's first option</t>
        </is>
      </c>
      <c r="G4" s="30" t="inlineStr">
        <is>
          <t>91b7697</t>
        </is>
      </c>
      <c r="H4" s="30" t="inlineStr">
        <is>
          <t>Fixed</t>
        </is>
      </c>
      <c r="I4" s="31" t="inlineStr">
        <is>
          <t>E2E APR-06</t>
        </is>
      </c>
    </row>
    <row r="5">
      <c r="A5" s="30" t="inlineStr">
        <is>
          <t>B-04</t>
        </is>
      </c>
      <c r="B5" s="30" t="inlineStr">
        <is>
          <t>19 Oct 2026</t>
        </is>
      </c>
      <c r="C5" s="30" t="inlineStr">
        <is>
          <t>Children Medical Allowance</t>
        </is>
      </c>
      <c r="D5" s="31" t="inlineStr">
        <is>
          <t>Every claim blocked, even drafts</t>
        </is>
      </c>
      <c r="E5" s="31" t="inlineStr">
        <is>
          <t>Unused Employee Grade requirement</t>
        </is>
      </c>
      <c r="F5" s="31" t="inlineStr">
        <is>
          <t>Requirement removed</t>
        </is>
      </c>
      <c r="G5" s="30" t="inlineStr">
        <is>
          <t>91b7697</t>
        </is>
      </c>
      <c r="H5" s="30" t="inlineStr">
        <is>
          <t>Fixed</t>
        </is>
      </c>
      <c r="I5" s="31" t="inlineStr">
        <is>
          <t>E2E ESS-12</t>
        </is>
      </c>
    </row>
    <row r="6">
      <c r="A6" s="30" t="inlineStr">
        <is>
          <t>B-05</t>
        </is>
      </c>
      <c r="B6" s="30" t="inlineStr">
        <is>
          <t>19 Oct 2026</t>
        </is>
      </c>
      <c r="C6" s="30" t="inlineStr">
        <is>
          <t>Medical License</t>
        </is>
      </c>
      <c r="D6" s="31" t="inlineStr">
        <is>
          <t>Employees could list everyone's licences</t>
        </is>
      </c>
      <c r="E6" s="31" t="inlineStr">
        <is>
          <t>No own-record rule</t>
        </is>
      </c>
      <c r="F6" s="31" t="inlineStr">
        <is>
          <t>Own-record permission rules</t>
        </is>
      </c>
      <c r="G6" s="30" t="inlineStr">
        <is>
          <t>91b7697</t>
        </is>
      </c>
      <c r="H6" s="30" t="inlineStr">
        <is>
          <t>Fixed</t>
        </is>
      </c>
      <c r="I6" s="31" t="inlineStr">
        <is>
          <t>E2E LIC-02</t>
        </is>
      </c>
    </row>
    <row r="7">
      <c r="A7" s="30" t="inlineStr">
        <is>
          <t>B-06</t>
        </is>
      </c>
      <c r="B7" s="30" t="inlineStr">
        <is>
          <t>19 Oct 2026</t>
        </is>
      </c>
      <c r="C7" s="30" t="inlineStr">
        <is>
          <t>HR Dashboard</t>
        </is>
      </c>
      <c r="D7" s="31" t="inlineStr">
        <is>
          <t>Return-from-leave count always 0</t>
        </is>
      </c>
      <c r="E7" s="31" t="inlineStr">
        <is>
          <t>Doctype name casing</t>
        </is>
      </c>
      <c r="F7" s="31" t="inlineStr">
        <is>
          <t>Corrected</t>
        </is>
      </c>
      <c r="G7" s="30" t="inlineStr">
        <is>
          <t>91b7697</t>
        </is>
      </c>
      <c r="H7" s="30" t="inlineStr">
        <is>
          <t>Fixed</t>
        </is>
      </c>
      <c r="I7" s="31" t="inlineStr">
        <is>
          <t>E2E HRD-02</t>
        </is>
      </c>
    </row>
    <row r="8">
      <c r="A8" s="30" t="inlineStr">
        <is>
          <t>B-07</t>
        </is>
      </c>
      <c r="B8" s="30" t="inlineStr">
        <is>
          <t>19 Oct 2026</t>
        </is>
      </c>
      <c r="C8" s="30" t="inlineStr">
        <is>
          <t>Employee Dashboard</t>
        </is>
      </c>
      <c r="D8" s="31" t="inlineStr">
        <is>
          <t>Drafts counted as pending</t>
        </is>
      </c>
      <c r="E8" s="31" t="inlineStr">
        <is>
          <t>Status filter</t>
        </is>
      </c>
      <c r="F8" s="31" t="inlineStr">
        <is>
          <t>Drafts excluded</t>
        </is>
      </c>
      <c r="G8" s="30" t="inlineStr">
        <is>
          <t>91b7697</t>
        </is>
      </c>
      <c r="H8" s="30" t="inlineStr">
        <is>
          <t>Fixed</t>
        </is>
      </c>
      <c r="I8" s="31" t="inlineStr">
        <is>
          <t>E2E ESS-15</t>
        </is>
      </c>
    </row>
    <row r="9">
      <c r="A9" s="30" t="inlineStr">
        <is>
          <t>B-08</t>
        </is>
      </c>
      <c r="B9" s="30" t="inlineStr">
        <is>
          <t>19 Oct 2026</t>
        </is>
      </c>
      <c r="C9" s="30" t="inlineStr">
        <is>
          <t>Recruitment (security)</t>
        </is>
      </c>
      <c r="D9" s="31" t="inlineStr">
        <is>
          <t>A guest could obtain System Manager via the public form</t>
        </is>
      </c>
      <c r="E9" s="31" t="inlineStr">
        <is>
          <t>Role taken from the guest payload</t>
        </is>
      </c>
      <c r="F9" s="31" t="inlineStr">
        <is>
          <t>Hireable-role allow-list, server-controlled fields protected</t>
        </is>
      </c>
      <c r="G9" s="30" t="inlineStr">
        <is>
          <t>0ab539e</t>
        </is>
      </c>
      <c r="H9" s="30" t="inlineStr">
        <is>
          <t>Fixed</t>
        </is>
      </c>
      <c r="I9" s="31" t="inlineStr">
        <is>
          <t>E2E REC-02</t>
        </is>
      </c>
    </row>
    <row r="10">
      <c r="A10" s="30" t="inlineStr">
        <is>
          <t>B-09</t>
        </is>
      </c>
      <c r="B10" s="30" t="inlineStr">
        <is>
          <t>19 Oct 2026</t>
        </is>
      </c>
      <c r="C10" s="30" t="inlineStr">
        <is>
          <t>Recruitment</t>
        </is>
      </c>
      <c r="D10" s="31" t="inlineStr">
        <is>
          <t>Academic hires landed on dashboards that couldn't find them</t>
        </is>
      </c>
      <c r="E10" s="31" t="inlineStr">
        <is>
          <t>Only an Instructor record was created</t>
        </is>
      </c>
      <c r="F10" s="31" t="inlineStr">
        <is>
          <t>Records per role (Advisor, HOD...)</t>
        </is>
      </c>
      <c r="G10" s="30" t="inlineStr">
        <is>
          <t>8390598</t>
        </is>
      </c>
      <c r="H10" s="30" t="inlineStr">
        <is>
          <t>Fixed</t>
        </is>
      </c>
      <c r="I10" s="31" t="inlineStr">
        <is>
          <t>E2E REC-03/04</t>
        </is>
      </c>
    </row>
    <row r="11">
      <c r="A11" s="30" t="inlineStr">
        <is>
          <t>B-10</t>
        </is>
      </c>
      <c r="B11" s="30" t="inlineStr">
        <is>
          <t>19 Oct 2026</t>
        </is>
      </c>
      <c r="C11" s="30" t="inlineStr">
        <is>
          <t>Ministry codes</t>
        </is>
      </c>
      <c r="D11" s="31" t="inlineStr">
        <is>
          <t>8,330 codes showed the code as their name; no Arabic</t>
        </is>
      </c>
      <c r="E11" s="31" t="inlineStr">
        <is>
          <t>Importer read only the translated workbook</t>
        </is>
      </c>
      <c r="F11" s="31" t="inlineStr">
        <is>
          <t>Merge Arabic + translated workbooks</t>
        </is>
      </c>
      <c r="G11" s="30" t="inlineStr">
        <is>
          <t>277442b</t>
        </is>
      </c>
      <c r="H11" s="30" t="inlineStr">
        <is>
          <t>Fixed</t>
        </is>
      </c>
      <c r="I11" s="31" t="inlineStr">
        <is>
          <t>Data check</t>
        </is>
      </c>
    </row>
    <row r="12">
      <c r="A12" s="30" t="inlineStr">
        <is>
          <t>B-11</t>
        </is>
      </c>
      <c r="B12" s="30" t="inlineStr">
        <is>
          <t>19 Oct 2026</t>
        </is>
      </c>
      <c r="C12" s="30" t="inlineStr">
        <is>
          <t>Registration</t>
        </is>
      </c>
      <c r="D12" s="31" t="inlineStr">
        <is>
          <t>Home-country ID required for non-Saudis instead of the Kingdom ID</t>
        </is>
      </c>
      <c r="E12" s="31" t="inlineStr">
        <is>
          <t>Wrong rule</t>
        </is>
      </c>
      <c r="F12" s="31" t="inlineStr">
        <is>
          <t>Ministry identity rules</t>
        </is>
      </c>
      <c r="G12" s="30" t="inlineStr">
        <is>
          <t>1f88c78</t>
        </is>
      </c>
      <c r="H12" s="30" t="inlineStr">
        <is>
          <t>Fixed</t>
        </is>
      </c>
      <c r="I12" s="31" t="inlineStr">
        <is>
          <t>Unit + E2E EMP-05/06</t>
        </is>
      </c>
    </row>
    <row r="13">
      <c r="A13" s="30" t="inlineStr">
        <is>
          <t>B-12</t>
        </is>
      </c>
      <c r="B13" s="30" t="inlineStr">
        <is>
          <t>20 Oct 2026</t>
        </is>
      </c>
      <c r="C13" s="30" t="inlineStr">
        <is>
          <t>Academic presence</t>
        </is>
      </c>
      <c r="D13" s="31" t="inlineStr">
        <is>
          <t>Students on campus undercounted</t>
        </is>
      </c>
      <c r="E13" s="31" t="inlineStr">
        <is>
          <t>Weekly timetable slots not expanded</t>
        </is>
      </c>
      <c r="F13" s="31" t="inlineStr">
        <is>
          <t>Expand slots week by week within the term</t>
        </is>
      </c>
      <c r="G13" s="30" t="inlineStr">
        <is>
          <t>0578d3d</t>
        </is>
      </c>
      <c r="H13" s="30" t="inlineStr">
        <is>
          <t>Fixed</t>
        </is>
      </c>
      <c r="I13" s="31" t="inlineStr">
        <is>
          <t>397 present matched attendance</t>
        </is>
      </c>
    </row>
    <row r="14">
      <c r="A14" s="30" t="inlineStr">
        <is>
          <t>B-13</t>
        </is>
      </c>
      <c r="B14" s="30" t="inlineStr">
        <is>
          <t>20 Oct 2026</t>
        </is>
      </c>
      <c r="C14" s="30" t="inlineStr">
        <is>
          <t>Employee master</t>
        </is>
      </c>
      <c r="D14" s="31" t="inlineStr">
        <is>
          <t>Saving any employee with a login failed (Gender::1)</t>
        </is>
      </c>
      <c r="E14" s="31" t="inlineStr">
        <is>
          <t>ERPNext copies Ministry gender code to the User</t>
        </is>
      </c>
      <c r="F14" s="31" t="inlineStr">
        <is>
          <t>Employee controller maps it to the core Gender</t>
        </is>
      </c>
      <c r="G14" s="30" t="inlineStr">
        <is>
          <t>7f0c5fc</t>
        </is>
      </c>
      <c r="H14" s="30" t="inlineStr">
        <is>
          <t>Fixed</t>
        </is>
      </c>
      <c r="I14" s="31" t="inlineStr">
        <is>
          <t>E2E EMP-01</t>
        </is>
      </c>
    </row>
    <row r="15">
      <c r="A15" s="30" t="inlineStr">
        <is>
          <t>B-14</t>
        </is>
      </c>
      <c r="B15" s="30" t="inlineStr">
        <is>
          <t>20 Oct 2026</t>
        </is>
      </c>
      <c r="C15" s="30" t="inlineStr">
        <is>
          <t>Leave Return Request</t>
        </is>
      </c>
      <c r="D15" s="31" t="inlineStr">
        <is>
          <t>HR list view and counts failed</t>
        </is>
      </c>
      <c r="E15" s="31" t="inlineStr">
        <is>
          <t>Frappe rejects ' from ' in table names</t>
        </is>
      </c>
      <c r="F15" s="31" t="inlineStr">
        <is>
          <t>Doctype renamed with a migration patch</t>
        </is>
      </c>
      <c r="G15" s="30" t="inlineStr">
        <is>
          <t>7f0c5fc</t>
        </is>
      </c>
      <c r="H15" s="30" t="inlineStr">
        <is>
          <t>Fixed</t>
        </is>
      </c>
      <c r="I15" s="31" t="inlineStr">
        <is>
          <t>E2E APR-07</t>
        </is>
      </c>
    </row>
    <row r="16">
      <c r="A16" s="30" t="inlineStr">
        <is>
          <t>B-15</t>
        </is>
      </c>
      <c r="B16" s="30" t="inlineStr">
        <is>
          <t>20 Oct 2026</t>
        </is>
      </c>
      <c r="C16" s="30" t="inlineStr">
        <is>
          <t>Leave Control Panel</t>
        </is>
      </c>
      <c r="D16" s="31" t="inlineStr">
        <is>
          <t>Error for HR without an Employee record</t>
        </is>
      </c>
      <c r="E16" s="31" t="inlineStr">
        <is>
          <t>No Company read permission</t>
        </is>
      </c>
      <c r="F16" s="31" t="inlineStr">
        <is>
          <t>HR read on Company</t>
        </is>
      </c>
      <c r="G16" s="30" t="inlineStr">
        <is>
          <t>7f0c5fc</t>
        </is>
      </c>
      <c r="H16" s="30" t="inlineStr">
        <is>
          <t>Fixed</t>
        </is>
      </c>
      <c r="I16" s="31" t="inlineStr">
        <is>
          <t>E2E HRD-03</t>
        </is>
      </c>
    </row>
    <row r="17">
      <c r="A17" s="30" t="inlineStr">
        <is>
          <t>B-16</t>
        </is>
      </c>
      <c r="B17" s="30" t="inlineStr">
        <is>
          <t>20 Oct 2026</t>
        </is>
      </c>
      <c r="C17" s="30" t="inlineStr">
        <is>
          <t>HR Dashboard</t>
        </is>
      </c>
      <c r="D17" s="31" t="inlineStr">
        <is>
          <t>Travel Request link refused for HR</t>
        </is>
      </c>
      <c r="E17" s="31" t="inlineStr">
        <is>
          <t>HRMS grants System Manager only</t>
        </is>
      </c>
      <c r="F17" s="31" t="inlineStr">
        <is>
          <t>HR permissions on Travel Request</t>
        </is>
      </c>
      <c r="G17" s="30" t="inlineStr">
        <is>
          <t>7f0c5fc</t>
        </is>
      </c>
      <c r="H17" s="30" t="inlineStr">
        <is>
          <t>Fixed</t>
        </is>
      </c>
      <c r="I17" s="31" t="inlineStr">
        <is>
          <t>E2E HRD-03</t>
        </is>
      </c>
    </row>
    <row r="18">
      <c r="A18" s="30" t="inlineStr">
        <is>
          <t>B-17</t>
        </is>
      </c>
      <c r="B18" s="30" t="inlineStr">
        <is>
          <t>20 Oct 2026</t>
        </is>
      </c>
      <c r="C18" s="30" t="inlineStr">
        <is>
          <t>Academic presence</t>
        </is>
      </c>
      <c r="D18" s="31" t="inlineStr">
        <is>
          <t>Faculty filter unusable for HR</t>
        </is>
      </c>
      <c r="E18" s="31" t="inlineStr">
        <is>
          <t>No Instructor read for HR</t>
        </is>
      </c>
      <c r="F18" s="31" t="inlineStr">
        <is>
          <t>Read-only Instructor access</t>
        </is>
      </c>
      <c r="G18" s="30" t="inlineStr">
        <is>
          <t>7f0c5fc</t>
        </is>
      </c>
      <c r="H18" s="30" t="inlineStr">
        <is>
          <t>Fixed</t>
        </is>
      </c>
      <c r="I18" s="31" t="inlineStr">
        <is>
          <t>E2E PRS-02</t>
        </is>
      </c>
    </row>
    <row r="19">
      <c r="A19" s="30" t="inlineStr">
        <is>
          <t>B-18</t>
        </is>
      </c>
      <c r="B19" s="30" t="inlineStr">
        <is>
          <t>20 Oct 2026</t>
        </is>
      </c>
      <c r="C19" s="30" t="inlineStr">
        <is>
          <t>Recruitment</t>
        </is>
      </c>
      <c r="D19" s="31" t="inlineStr">
        <is>
          <t>HR could not create Job Application Links</t>
        </is>
      </c>
      <c r="E19" s="31" t="inlineStr">
        <is>
          <t>No select permission on Role</t>
        </is>
      </c>
      <c r="F19" s="31" t="inlineStr">
        <is>
          <t>Select-only Role, filtered to hireable roles</t>
        </is>
      </c>
      <c r="G19" s="30" t="inlineStr">
        <is>
          <t>7f0c5fc</t>
        </is>
      </c>
      <c r="H19" s="30" t="inlineStr">
        <is>
          <t>Fixed</t>
        </is>
      </c>
      <c r="I19" s="31" t="inlineStr">
        <is>
          <t>E2E REC-03</t>
        </is>
      </c>
    </row>
    <row r="20">
      <c r="A20" s="30" t="inlineStr">
        <is>
          <t>B-19</t>
        </is>
      </c>
      <c r="B20" s="30" t="inlineStr">
        <is>
          <t>20 Oct 2026</t>
        </is>
      </c>
      <c r="C20" s="30" t="inlineStr">
        <is>
          <t>Recruitment</t>
        </is>
      </c>
      <c r="D20" s="31" t="inlineStr">
        <is>
          <t>Create Employee dialog refused the department</t>
        </is>
      </c>
      <c r="E20" s="31" t="inlineStr">
        <is>
          <t>No Department Edu read for HR</t>
        </is>
      </c>
      <c r="F20" s="31" t="inlineStr">
        <is>
          <t>Read-only Department Edu</t>
        </is>
      </c>
      <c r="G20" s="30" t="inlineStr">
        <is>
          <t>7f0c5fc</t>
        </is>
      </c>
      <c r="H20" s="30" t="inlineStr">
        <is>
          <t>Fixed</t>
        </is>
      </c>
      <c r="I20" s="31" t="inlineStr">
        <is>
          <t>E2E REC-03</t>
        </is>
      </c>
    </row>
    <row r="21">
      <c r="A21" s="30" t="inlineStr">
        <is>
          <t>B-20</t>
        </is>
      </c>
      <c r="B21" s="30" t="inlineStr">
        <is>
          <t>20 Oct 2026</t>
        </is>
      </c>
      <c r="C21" s="30" t="inlineStr">
        <is>
          <t>Employee pages</t>
        </is>
      </c>
      <c r="D21" s="31" t="inlineStr">
        <is>
          <t>Script error on every employee list/form page</t>
        </is>
      </c>
      <c r="E21" s="31" t="inlineStr">
        <is>
          <t>Router not ready on first load</t>
        </is>
      </c>
      <c r="F21" s="31" t="inlineStr">
        <is>
          <t>Null guard</t>
        </is>
      </c>
      <c r="G21" s="30" t="inlineStr">
        <is>
          <t>7f0c5fc</t>
        </is>
      </c>
      <c r="H21" s="30" t="inlineStr">
        <is>
          <t>Fixed</t>
        </is>
      </c>
      <c r="I21" s="31" t="inlineStr">
        <is>
          <t>Error sweep</t>
        </is>
      </c>
    </row>
    <row r="22">
      <c r="A22" s="30" t="inlineStr">
        <is>
          <t>B-21</t>
        </is>
      </c>
      <c r="B22" s="30" t="inlineStr">
        <is>
          <t>20 Oct 2026</t>
        </is>
      </c>
      <c r="C22" s="30" t="inlineStr">
        <is>
          <t>Job application form</t>
        </is>
      </c>
      <c r="D22" s="31" t="inlineStr">
        <is>
          <t>Extension accepted letters, failed after submit</t>
        </is>
      </c>
      <c r="E22" s="31" t="inlineStr">
        <is>
          <t>Text input for a phone field</t>
        </is>
      </c>
      <c r="F22" s="31" t="inlineStr">
        <is>
          <t>Phone input</t>
        </is>
      </c>
      <c r="G22" s="30" t="inlineStr">
        <is>
          <t>7f0c5fc</t>
        </is>
      </c>
      <c r="H22" s="30" t="inlineStr">
        <is>
          <t>Fixed</t>
        </is>
      </c>
      <c r="I22" s="31" t="inlineStr">
        <is>
          <t>E2E REC</t>
        </is>
      </c>
    </row>
    <row r="23">
      <c r="A23" s="30" t="inlineStr">
        <is>
          <t>B-22</t>
        </is>
      </c>
      <c r="B23" s="30" t="inlineStr">
        <is>
          <t>20 Oct 2026</t>
        </is>
      </c>
      <c r="C23" s="30" t="inlineStr">
        <is>
          <t>Registration</t>
        </is>
      </c>
      <c r="D23" s="31" t="inlineStr">
        <is>
          <t>'Appreciation' offered GPA systems instead of grades</t>
        </is>
      </c>
      <c r="E23" s="31" t="inlineStr">
        <is>
          <t>Wrong Ministry list in config</t>
        </is>
      </c>
      <c r="F23" s="31" t="inlineStr">
        <is>
          <t>Student Evaluation Coding list</t>
        </is>
      </c>
      <c r="G23" s="30" t="inlineStr">
        <is>
          <t>d690cb7</t>
        </is>
      </c>
      <c r="H23" s="30" t="inlineStr">
        <is>
          <t>Fixed</t>
        </is>
      </c>
      <c r="I23" s="31" t="inlineStr">
        <is>
          <t>E2E REC-05</t>
        </is>
      </c>
    </row>
    <row r="24">
      <c r="A24" s="30" t="inlineStr">
        <is>
          <t>B-23</t>
        </is>
      </c>
      <c r="B24" s="30" t="inlineStr">
        <is>
          <t>20 Oct 2026</t>
        </is>
      </c>
      <c r="C24" s="30" t="inlineStr">
        <is>
          <t>Recruitment</t>
        </is>
      </c>
      <c r="D24" s="31" t="inlineStr">
        <is>
          <t>Work/home phone and application details lost on conversion</t>
        </is>
      </c>
      <c r="E24" s="31" t="inlineStr">
        <is>
          <t>Fields missing on Employee</t>
        </is>
      </c>
      <c r="F24" s="31" t="inlineStr">
        <is>
          <t>Fields added</t>
        </is>
      </c>
      <c r="G24" s="30" t="inlineStr">
        <is>
          <t>d690cb7</t>
        </is>
      </c>
      <c r="H24" s="30" t="inlineStr">
        <is>
          <t>Fixed</t>
        </is>
      </c>
      <c r="I24" s="31" t="inlineStr">
        <is>
          <t>E2E REC-06</t>
        </is>
      </c>
    </row>
    <row r="25">
      <c r="A25" s="30" t="inlineStr">
        <is>
          <t>B-24</t>
        </is>
      </c>
      <c r="B25" s="30" t="inlineStr">
        <is>
          <t>21 Oct 2026</t>
        </is>
      </c>
      <c r="C25" s="30" t="inlineStr">
        <is>
          <t>Login</t>
        </is>
      </c>
      <c r="D25" s="31" t="inlineStr">
        <is>
          <t>HR users not taken to the HR Dashboard</t>
        </is>
      </c>
      <c r="E25" s="31" t="inlineStr">
        <is>
          <t>Education master has no HR roles in its landing list</t>
        </is>
      </c>
      <c r="F25" s="31" t="inlineStr">
        <is>
          <t>medical_hrms boot_session hook</t>
        </is>
      </c>
      <c r="G25" s="30" t="inlineStr">
        <is>
          <t>1ee80cd</t>
        </is>
      </c>
      <c r="H25" s="30" t="inlineStr">
        <is>
          <t>Fixed</t>
        </is>
      </c>
      <c r="I25" s="31" t="inlineStr">
        <is>
          <t>E2E LGN-01/02</t>
        </is>
      </c>
    </row>
    <row r="26">
      <c r="A26" s="30" t="inlineStr">
        <is>
          <t>B-29</t>
        </is>
      </c>
      <c r="B26" s="30" t="inlineStr">
        <is>
          <t>21 Oct 2026</t>
        </is>
      </c>
      <c r="C26" s="30" t="inlineStr">
        <is>
          <t>Requests</t>
        </is>
      </c>
      <c r="D26" s="31" t="inlineStr">
        <is>
          <t>HR opening a new Expense Claim got 'You do not have Read or Select Permissions for Cost Center'</t>
        </is>
      </c>
      <c r="E26" s="31" t="inlineStr">
        <is>
          <t>HR roles had no select permission on Cost Center / Project</t>
        </is>
      </c>
      <c r="F26" s="31" t="inlineStr">
        <is>
          <t>Select-only Cost Center and Project for HR User and HR Manager</t>
        </is>
      </c>
      <c r="G26" s="30" t="inlineStr">
        <is>
          <t>HR-60</t>
        </is>
      </c>
      <c r="H26" s="30" t="inlineStr">
        <is>
          <t>Fixed</t>
        </is>
      </c>
      <c r="I26" s="31" t="inlineStr">
        <is>
          <t>Error sweep SWP-01/02</t>
        </is>
      </c>
    </row>
    <row r="27">
      <c r="A27" s="30" t="inlineStr">
        <is>
          <t>B-30</t>
        </is>
      </c>
      <c r="B27" s="30" t="inlineStr">
        <is>
          <t>21 Oct 2026</t>
        </is>
      </c>
      <c r="C27" s="30" t="inlineStr">
        <is>
          <t>Recruitment</t>
        </is>
      </c>
      <c r="D27" s="31" t="inlineStr">
        <is>
          <t>Academic hire with a personal e-mail: Employee created, Instructor record not created (orange warning)</t>
        </is>
      </c>
      <c r="E27" s="31" t="inlineStr">
        <is>
          <t>Education master requires @alriyada.edu.sa for Instructors</t>
        </is>
      </c>
      <c r="F27" s="31" t="inlineStr">
        <is>
          <t>Refuse up front with 'College E-mail Needed'; dialog hint</t>
        </is>
      </c>
      <c r="G27" s="30" t="inlineStr">
        <is>
          <t>HR-61</t>
        </is>
      </c>
      <c r="H27" s="30" t="inlineStr">
        <is>
          <t>Fixed</t>
        </is>
      </c>
      <c r="I27" s="31" t="inlineStr">
        <is>
          <t>E2E REC-03/04/08</t>
        </is>
      </c>
    </row>
    <row r="28">
      <c r="A28" s="30" t="inlineStr">
        <is>
          <t>B-31</t>
        </is>
      </c>
      <c r="B28" s="30" t="inlineStr">
        <is>
          <t>21 Oct 2026</t>
        </is>
      </c>
      <c r="C28" s="30" t="inlineStr">
        <is>
          <t>Security</t>
        </is>
      </c>
      <c r="D28" s="31" t="inlineStr">
        <is>
          <t>HR User: Holiday List opened 'Not permitted'</t>
        </is>
      </c>
      <c r="E28" s="31" t="inlineStr">
        <is>
          <t>ERPNext grants Holiday List to HR Manager only</t>
        </is>
      </c>
      <c r="F28" s="31" t="inlineStr">
        <is>
          <t>Read-only Holiday List for HR User</t>
        </is>
      </c>
      <c r="G28" s="30" t="inlineStr">
        <is>
          <t>HR-62</t>
        </is>
      </c>
      <c r="H28" s="30" t="inlineStr">
        <is>
          <t>Fixed</t>
        </is>
      </c>
      <c r="I28" s="31" t="inlineStr">
        <is>
          <t>Error sweep SWP-02</t>
        </is>
      </c>
    </row>
    <row r="29">
      <c r="A29" s="30" t="inlineStr">
        <is>
          <t>B-32</t>
        </is>
      </c>
      <c r="B29" s="30" t="inlineStr">
        <is>
          <t>21 Oct 2026</t>
        </is>
      </c>
      <c r="C29" s="30" t="inlineStr">
        <is>
          <t>Registration</t>
        </is>
      </c>
      <c r="D29" s="31" t="inlineStr">
        <is>
          <t>Non-Saudi employee: opening the form cleared the Iqama number and blocked saving</t>
        </is>
      </c>
      <c r="E29" s="31" t="inlineStr">
        <is>
          <t>Form script kept the pre-19-Oct identity rule</t>
        </is>
      </c>
      <c r="F29" s="31" t="inlineStr">
        <is>
          <t>Form follows the Ministry rule (Iqama mandatory, home-country ID optional)</t>
        </is>
      </c>
      <c r="G29" s="30" t="inlineStr">
        <is>
          <t>HR-63</t>
        </is>
      </c>
      <c r="H29" s="30" t="inlineStr">
        <is>
          <t>Fixed</t>
        </is>
      </c>
      <c r="I29" s="31" t="inlineStr">
        <is>
          <t>E2E EMP-08</t>
        </is>
      </c>
    </row>
    <row r="30">
      <c r="A30" s="30" t="inlineStr">
        <is>
          <t>B-33</t>
        </is>
      </c>
      <c r="B30" s="30" t="inlineStr">
        <is>
          <t>21 Oct 2026</t>
        </is>
      </c>
      <c r="C30" s="30" t="inlineStr">
        <is>
          <t>Recruitment</t>
        </is>
      </c>
      <c r="D30" s="31" t="inlineStr">
        <is>
          <t>Hired employees opened as 'Not Saved'; special-needs code could reach the Ministry with 'No special needs'</t>
        </is>
      </c>
      <c r="E30" s="31" t="inlineStr">
        <is>
          <t>Values that do not apply copied from the application</t>
        </is>
      </c>
      <c r="F30" s="31" t="inlineStr">
        <is>
          <t>Dropped on save; views guard the special-needs type</t>
        </is>
      </c>
      <c r="G30" s="30" t="inlineStr">
        <is>
          <t>HR-64</t>
        </is>
      </c>
      <c r="H30" s="30" t="inlineStr">
        <is>
          <t>Fixed</t>
        </is>
      </c>
      <c r="I30" s="31" t="inlineStr">
        <is>
          <t>E2E REC-09, REC-06</t>
        </is>
      </c>
    </row>
    <row r="31">
      <c r="A31" s="30" t="inlineStr">
        <is>
          <t>B-34</t>
        </is>
      </c>
      <c r="B31" s="30" t="inlineStr">
        <is>
          <t>21 Oct 2026</t>
        </is>
      </c>
      <c r="C31" s="30" t="inlineStr">
        <is>
          <t>Jameah</t>
        </is>
      </c>
      <c r="D31" s="31" t="inlineStr">
        <is>
          <t>Ministry GPA differed from the transcript for 1,197 students after the Education update</t>
        </is>
      </c>
      <c r="E31" s="31" t="inlineStr">
        <is>
          <t>Views kept the old GPA / credit-hour rules</t>
        </is>
      </c>
      <c r="F31" s="31" t="inlineStr">
        <is>
          <t>Use Education's official GPA and credit-hour functions</t>
        </is>
      </c>
      <c r="G31" s="30" t="inlineStr">
        <is>
          <t>JM-18</t>
        </is>
      </c>
      <c r="H31" s="30" t="inlineStr">
        <is>
          <t>Fixed</t>
        </is>
      </c>
      <c r="I31" s="31" t="inlineStr">
        <is>
          <t>verify.run: 15/15 OK</t>
        </is>
      </c>
    </row>
    <row r="32">
      <c r="A32" s="30" t="inlineStr">
        <is>
          <t>B-28</t>
        </is>
      </c>
      <c r="B32" s="30" t="inlineStr">
        <is>
          <t>21 Oct 2026</t>
        </is>
      </c>
      <c r="C32" s="30" t="inlineStr">
        <is>
          <t>Navigation</t>
        </is>
      </c>
      <c r="D32" s="31" t="inlineStr">
        <is>
          <t>Employees clicking the 'Medical HRMS' breadcrumb got 'Not permitted - No permission for Page'</t>
        </is>
      </c>
      <c r="E32" s="31" t="inlineStr">
        <is>
          <t>Frappe chooses the breadcrumb workspace without a permission check</t>
        </is>
      </c>
      <c r="F32" s="31" t="inlineStr">
        <is>
          <t>Keep only workspaces the user can open</t>
        </is>
      </c>
      <c r="G32" s="30" t="inlineStr">
        <is>
          <t>HR-59</t>
        </is>
      </c>
      <c r="H32" s="30" t="inlineStr">
        <is>
          <t>Fixed</t>
        </is>
      </c>
      <c r="I32" s="31" t="inlineStr">
        <is>
          <t>E2E NAV-01/02</t>
        </is>
      </c>
    </row>
    <row r="33">
      <c r="A33" s="30" t="inlineStr">
        <is>
          <t>B-25</t>
        </is>
      </c>
      <c r="B33" s="30" t="inlineStr">
        <is>
          <t>21 Oct 2026</t>
        </is>
      </c>
      <c r="C33" s="30" t="inlineStr">
        <is>
          <t>E-mail</t>
        </is>
      </c>
      <c r="D33" s="31" t="inlineStr">
        <is>
          <t>System e-mails fail: password cannot be decrypted</t>
        </is>
      </c>
      <c r="E33" s="31" t="inlineStr">
        <is>
          <t>Email Account 'Notifications' password encrypted with another key</t>
        </is>
      </c>
      <c r="F33" s="31" t="inlineStr">
        <is>
          <t>Re-enter the password on the server</t>
        </is>
      </c>
      <c r="G33" s="30" t="inlineStr">
        <is>
          <t>HR-47</t>
        </is>
      </c>
      <c r="H33" s="30" t="inlineStr">
        <is>
          <t>Open</t>
        </is>
      </c>
      <c r="I33" s="31" t="inlineStr">
        <is>
          <t>Error Log</t>
        </is>
      </c>
    </row>
    <row r="34">
      <c r="A34" s="30" t="inlineStr">
        <is>
          <t>B-26</t>
        </is>
      </c>
      <c r="B34" s="30" t="inlineStr">
        <is>
          <t>21 Oct 2026</t>
        </is>
      </c>
      <c r="C34" s="30" t="inlineStr">
        <is>
          <t>Instructor (Education)</t>
        </is>
      </c>
      <c r="D34" s="31" t="inlineStr">
        <is>
          <t>Linking an Employee in the Instructor form fails</t>
        </is>
      </c>
      <c r="E34" s="31" t="inlineStr">
        <is>
          <t>fetch_from copies Ministry codes into Education lists</t>
        </is>
      </c>
      <c r="F34" s="31" t="inlineStr">
        <is>
          <t>Education team to change the fetch</t>
        </is>
      </c>
      <c r="G34" s="30" t="inlineStr">
        <is>
          <t>HR-48</t>
        </is>
      </c>
      <c r="H34" s="30" t="inlineStr">
        <is>
          <t>Open – other team</t>
        </is>
      </c>
      <c r="I34" s="31" t="inlineStr">
        <is>
          <t>Reproduced 21 Oct</t>
        </is>
      </c>
    </row>
    <row r="35">
      <c r="A35" s="30" t="inlineStr">
        <is>
          <t>B-27</t>
        </is>
      </c>
      <c r="B35" s="30" t="inlineStr">
        <is>
          <t>21 Oct 2026</t>
        </is>
      </c>
      <c r="C35" s="30" t="inlineStr">
        <is>
          <t>Website</t>
        </is>
      </c>
      <c r="D35" s="31" t="inlineStr">
        <is>
          <t>Logo file missing (/files/rchs-logo.png)</t>
        </is>
      </c>
      <c r="E35" s="31" t="inlineStr">
        <is>
          <t>File not on this copy</t>
        </is>
      </c>
      <c r="F35" s="31" t="inlineStr">
        <is>
          <t>Check on the live server</t>
        </is>
      </c>
      <c r="G35" s="30" t="inlineStr">
        <is>
          <t>HR-54</t>
        </is>
      </c>
      <c r="H35" s="30" t="inlineStr">
        <is>
          <t>Open – check server</t>
        </is>
      </c>
      <c r="I35" s="31" t="inlineStr">
        <is>
          <t>Error sweep</t>
        </is>
      </c>
    </row>
  </sheetData>
  <autoFilter ref="A1:I35"/>
  <conditionalFormatting sqref="A2:I135">
    <cfRule type="expression" priority="1" dxfId="0">
      <formula>$H2="Fixed"</formula>
    </cfRule>
    <cfRule type="expression" priority="2" dxfId="8">
      <formula>$H2="Open"</formula>
    </cfRule>
    <cfRule type="expression" priority="3" dxfId="6">
      <formula>$H2="Open – other team"</formula>
    </cfRule>
    <cfRule type="expression" priority="4" dxfId="4">
      <formula>$H2="Open – check server"</formula>
    </cfRule>
  </conditionalFormatting>
  <dataValidations count="1">
    <dataValidation sqref="H2:H135" showDropDown="0" showInputMessage="0" showErrorMessage="0" allowBlank="1" type="list">
      <formula1>"Fixed,Open,Open – other team,Open – check server"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2" customWidth="1" min="2" max="2"/>
    <col width="22" customWidth="1" min="3" max="3"/>
    <col width="46" customWidth="1" min="4" max="4"/>
    <col width="18" customWidth="1" min="5" max="5"/>
    <col width="34" customWidth="1" min="6" max="6"/>
    <col width="13" customWidth="1" min="7" max="7"/>
  </cols>
  <sheetData>
    <row r="1" ht="30" customHeight="1">
      <c r="A1" s="17" t="inlineStr">
        <is>
          <t>ID</t>
        </is>
      </c>
      <c r="B1" s="17" t="inlineStr">
        <is>
          <t>Decision needed</t>
        </is>
      </c>
      <c r="C1" s="17" t="inlineStr">
        <is>
          <t>Who decides</t>
        </is>
      </c>
      <c r="D1" s="17" t="inlineStr">
        <is>
          <t>Options / recommendation</t>
        </is>
      </c>
      <c r="E1" s="17" t="inlineStr">
        <is>
          <t>Blocks tasks</t>
        </is>
      </c>
      <c r="F1" s="17" t="inlineStr">
        <is>
          <t>Answer (fill in)</t>
        </is>
      </c>
      <c r="G1" s="17" t="inlineStr">
        <is>
          <t>Answered on</t>
        </is>
      </c>
    </row>
    <row r="2">
      <c r="A2" s="30" t="inlineStr">
        <is>
          <t>DEC-01</t>
        </is>
      </c>
      <c r="B2" s="31" t="inlineStr">
        <is>
          <t>Which view and column names does the Jameah agent read: the HTML names or the Ministry schema V0.1 names?</t>
        </is>
      </c>
      <c r="C2" s="30" t="inlineStr">
        <is>
          <t>Ministry contact (Ms. Najah)</t>
        </is>
      </c>
      <c r="D2" s="31" t="inlineStr">
        <is>
          <t>Confirm with the Ministry; renaming is a small change.</t>
        </is>
      </c>
      <c r="E2" s="30" t="inlineStr">
        <is>
          <t>JM-09, go-live of Jameah</t>
        </is>
      </c>
      <c r="F2" s="32" t="inlineStr"/>
      <c r="G2" s="33" t="inlineStr"/>
    </row>
    <row r="3">
      <c r="A3" s="30" t="inlineStr">
        <is>
          <t>DEC-02</t>
        </is>
      </c>
      <c r="B3" s="31" t="inlineStr">
        <is>
          <t>College code the Ministry assigned to RCHS (College Coding Guide)</t>
        </is>
      </c>
      <c r="C3" s="30" t="inlineStr">
        <is>
          <t>Academic Affairs</t>
        </is>
      </c>
      <c r="D3" s="31" t="inlineStr">
        <is>
          <t>From the Ministry licence; pick in Jameah Settings.</t>
        </is>
      </c>
      <c r="E3" s="30" t="inlineStr">
        <is>
          <t>JM-10</t>
        </is>
      </c>
      <c r="F3" s="32" t="inlineStr"/>
      <c r="G3" s="33" t="inlineStr"/>
    </row>
    <row r="4">
      <c r="A4" s="30" t="inlineStr">
        <is>
          <t>DEC-03</t>
        </is>
      </c>
      <c r="B4" s="31" t="inlineStr">
        <is>
          <t>Study type for regular and for bridging students</t>
        </is>
      </c>
      <c r="C4" s="30" t="inlineStr">
        <is>
          <t>Academic Affairs</t>
        </is>
      </c>
      <c r="D4" s="31" t="inlineStr">
        <is>
          <t>List includes 0 Total regularity, 7 Bridging.</t>
        </is>
      </c>
      <c r="E4" s="30" t="inlineStr">
        <is>
          <t>JM-10</t>
        </is>
      </c>
      <c r="F4" s="32" t="inlineStr"/>
      <c r="G4" s="33" t="inlineStr"/>
    </row>
    <row r="5">
      <c r="A5" s="30" t="inlineStr">
        <is>
          <t>DEC-04</t>
        </is>
      </c>
      <c r="B5" s="31" t="inlineStr">
        <is>
          <t>Program duration and unit</t>
        </is>
      </c>
      <c r="C5" s="30" t="inlineStr">
        <is>
          <t>Academic Affairs</t>
        </is>
      </c>
      <c r="D5" s="31" t="inlineStr">
        <is>
          <t>From the study plan.</t>
        </is>
      </c>
      <c r="E5" s="30" t="inlineStr">
        <is>
          <t>JM-10</t>
        </is>
      </c>
      <c r="F5" s="32" t="inlineStr"/>
      <c r="G5" s="33" t="inlineStr"/>
    </row>
    <row r="6">
      <c r="A6" s="30" t="inlineStr">
        <is>
          <t>DEC-05</t>
        </is>
      </c>
      <c r="B6" s="31" t="inlineStr">
        <is>
          <t>Campus city (Study Location City)</t>
        </is>
      </c>
      <c r="C6" s="30" t="inlineStr">
        <is>
          <t>Academic Affairs</t>
        </is>
      </c>
      <c r="D6" s="31" t="inlineStr">
        <is>
          <t>Ministry city code, e.g. 0202000 Jeddah Governorate if applicable.</t>
        </is>
      </c>
      <c r="E6" s="30" t="inlineStr">
        <is>
          <t>JM-10</t>
        </is>
      </c>
      <c r="F6" s="32" t="inlineStr"/>
      <c r="G6" s="33" t="inlineStr"/>
    </row>
    <row r="7">
      <c r="A7" s="30" t="inlineStr">
        <is>
          <t>DEC-06</t>
        </is>
      </c>
      <c r="B7" s="31" t="inlineStr">
        <is>
          <t>Ministry department and specialization for the nursing program</t>
        </is>
      </c>
      <c r="C7" s="30" t="inlineStr">
        <is>
          <t>Academic Affairs</t>
        </is>
      </c>
      <c r="D7" s="31" t="inlineStr">
        <is>
          <t>Candidates KL01 Nursing Sciences / KL03 Nursing.</t>
        </is>
      </c>
      <c r="E7" s="30" t="inlineStr">
        <is>
          <t>JM-11</t>
        </is>
      </c>
      <c r="F7" s="32" t="inlineStr"/>
      <c r="G7" s="33" t="inlineStr"/>
    </row>
    <row r="8">
      <c r="A8" s="30" t="inlineStr">
        <is>
          <t>DEC-07</t>
        </is>
      </c>
      <c r="B8" s="31" t="inlineStr">
        <is>
          <t>Ministry status for 'Internship' students (238)</t>
        </is>
      </c>
      <c r="C8" s="30" t="inlineStr">
        <is>
          <t>Academic Affairs</t>
        </is>
      </c>
      <c r="D8" s="31" t="inlineStr">
        <is>
          <t>Most likely 0 'restricted (enrolled)'.</t>
        </is>
      </c>
      <c r="E8" s="30" t="inlineStr">
        <is>
          <t>JM-11</t>
        </is>
      </c>
      <c r="F8" s="32" t="inlineStr"/>
      <c r="G8" s="33" t="inlineStr"/>
    </row>
    <row r="9">
      <c r="A9" s="30" t="inlineStr">
        <is>
          <t>DEC-08</t>
        </is>
      </c>
      <c r="B9" s="31" t="inlineStr">
        <is>
          <t>Accept 9-digit identity numbers?</t>
        </is>
      </c>
      <c r="C9" s="30" t="inlineStr">
        <is>
          <t>HR + Ministry contact</t>
        </is>
      </c>
      <c r="D9" s="31" t="inlineStr">
        <is>
          <t>Today exactly 10 digits for National ID / Iqama.</t>
        </is>
      </c>
      <c r="E9" s="30" t="inlineStr">
        <is>
          <t>HR-52</t>
        </is>
      </c>
      <c r="F9" s="32" t="inlineStr"/>
      <c r="G9" s="33" t="inlineStr"/>
    </row>
    <row r="10">
      <c r="A10" s="30" t="inlineStr">
        <is>
          <t>DEC-09</t>
        </is>
      </c>
      <c r="B10" s="31" t="inlineStr">
        <is>
          <t>Approver for each request step and the currency label (SAR)</t>
        </is>
      </c>
      <c r="C10" s="30" t="inlineStr">
        <is>
          <t>HR + Finance</t>
        </is>
      </c>
      <c r="D10" s="31" t="inlineStr">
        <is>
          <t>Update HRM_APPROVAL_MATRIX.md.</t>
        </is>
      </c>
      <c r="E10" s="30" t="inlineStr">
        <is>
          <t>HR-24</t>
        </is>
      </c>
      <c r="F10" s="32" t="inlineStr"/>
      <c r="G10" s="33" t="inlineStr"/>
    </row>
    <row r="11">
      <c r="A11" s="30" t="inlineStr">
        <is>
          <t>DEC-10</t>
        </is>
      </c>
      <c r="B11" s="31" t="inlineStr">
        <is>
          <t>Official holidays and carry-forward rules</t>
        </is>
      </c>
      <c r="C11" s="30" t="inlineStr">
        <is>
          <t>HR</t>
        </is>
      </c>
      <c r="D11" s="31" t="inlineStr">
        <is>
          <t>Needed for leave and presence.</t>
        </is>
      </c>
      <c r="E11" s="30" t="inlineStr">
        <is>
          <t>HR-23, HR-57</t>
        </is>
      </c>
      <c r="F11" s="32" t="inlineStr"/>
      <c r="G11" s="33" t="inlineStr"/>
    </row>
    <row r="12">
      <c r="A12" s="30" t="inlineStr">
        <is>
          <t>DEC-11</t>
        </is>
      </c>
      <c r="B12" s="31" t="inlineStr">
        <is>
          <t>Ministry credit hours: Registered = hours registered this term; Passed = earned + bridged plan hours (so Passed + Remaining = Required, as on the student dashboard). The transcript also shows a lifetime 'registered' total and bridging calc-hours.</t>
        </is>
      </c>
      <c r="C12" s="30" t="inlineStr">
        <is>
          <t>Academic Affairs</t>
        </is>
      </c>
      <c r="D12" s="31" t="inlineStr">
        <is>
          <t>Recommended as built; confirm with the Ministry definitions.</t>
        </is>
      </c>
      <c r="E12" s="30" t="inlineStr">
        <is>
          <t>JM-18</t>
        </is>
      </c>
      <c r="F12" s="32" t="inlineStr"/>
      <c r="G12" s="33" t="inlineStr"/>
    </row>
  </sheetData>
  <autoFilter ref="A1: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2026-10-21T10:28:50Z</dcterms:created>
  <dcterms:modified xsi:type="dcterms:W3CDTF">2026-10-21T10:28:50Z</dcterms:modified>
</cp:coreProperties>
</file>