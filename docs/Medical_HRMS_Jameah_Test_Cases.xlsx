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Test Cases" sheetId="3" state="visible" r:id="rId3"/>
    <sheet name="Bug Report" sheetId="4" state="visible" r:id="rId4"/>
    <sheet name="Test Accounts" sheetId="5" state="visible" r:id="rId5"/>
    <sheet name="Owner Checks" sheetId="6" state="visible" r:id="rId6"/>
  </sheets>
  <definedNames>
    <definedName name="_xlnm._FilterDatabase" localSheetId="2" hidden="1">'Test Cases'!$A$1:$Q$104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D6B4F"/>
      <sz val="18"/>
    </font>
    <font>
      <name val="Arial"/>
      <color rgb="005D6B66"/>
      <sz val="11"/>
    </font>
    <font>
      <name val="Arial"/>
      <b val="1"/>
      <color rgb="001F2A27"/>
      <sz val="12"/>
    </font>
    <font>
      <name val="Arial"/>
      <color rgb="001F2A27"/>
      <sz val="10"/>
    </font>
    <font>
      <name val="Arial"/>
      <b val="1"/>
      <color rgb="001F2A27"/>
      <sz val="10"/>
    </font>
    <font>
      <name val="Arial"/>
      <b val="1"/>
      <color rgb="00FFFFFF"/>
      <sz val="10"/>
    </font>
    <font>
      <name val="Arial"/>
      <i val="1"/>
      <color rgb="005D6B66"/>
      <sz val="10"/>
    </font>
    <font>
      <name val="Arial"/>
      <b val="1"/>
      <color rgb="000D6B4F"/>
      <sz val="16"/>
    </font>
    <font>
      <name val="Arial"/>
      <color rgb="005D6B66"/>
      <sz val="10"/>
    </font>
  </fonts>
  <fills count="9">
    <fill>
      <patternFill/>
    </fill>
    <fill>
      <patternFill patternType="gray125"/>
    </fill>
    <fill>
      <patternFill patternType="solid">
        <fgColor rgb="00F0F2F1"/>
      </patternFill>
    </fill>
    <fill>
      <patternFill patternType="solid">
        <fgColor rgb="00DDF0E6"/>
      </patternFill>
    </fill>
    <fill>
      <patternFill patternType="solid">
        <fgColor rgb="00FBE1DE"/>
      </patternFill>
    </fill>
    <fill>
      <patternFill patternType="solid">
        <fgColor rgb="00FCF2C9"/>
      </patternFill>
    </fill>
    <fill>
      <patternFill patternType="solid">
        <fgColor rgb="00ECE9E4"/>
      </patternFill>
    </fill>
    <fill>
      <patternFill patternType="solid">
        <fgColor rgb="000D6B4F"/>
      </patternFill>
    </fill>
    <fill>
      <patternFill patternType="solid">
        <fgColor rgb="00FFF7D6"/>
      </patternFill>
    </fill>
  </fills>
  <borders count="2">
    <border>
      <left/>
      <right/>
      <top/>
      <bottom/>
      <diagonal/>
    </border>
    <border>
      <left style="thin">
        <color rgb="00D5DDDA"/>
      </left>
      <right style="thin">
        <color rgb="00D5DDDA"/>
      </right>
      <top style="thin">
        <color rgb="00D5DDDA"/>
      </top>
      <bottom style="thin">
        <color rgb="00D5DDDA"/>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applyAlignment="1" pivotButton="0" quotePrefix="0" xfId="0">
      <alignment wrapText="1"/>
    </xf>
    <xf numFmtId="0" fontId="5" fillId="2" borderId="0" pivotButton="0" quotePrefix="0" xfId="0"/>
    <xf numFmtId="0" fontId="5" fillId="3" borderId="0" pivotButton="0" quotePrefix="0" xfId="0"/>
    <xf numFmtId="0" fontId="5" fillId="4" borderId="0" pivotButton="0" quotePrefix="0" xfId="0"/>
    <xf numFmtId="0" fontId="5" fillId="5" borderId="0" pivotButton="0" quotePrefix="0" xfId="0"/>
    <xf numFmtId="0" fontId="5" fillId="6" borderId="0" pivotButton="0" quotePrefix="0" xfId="0"/>
    <xf numFmtId="0" fontId="8" fillId="0" borderId="0" pivotButton="0" quotePrefix="0" xfId="0"/>
    <xf numFmtId="0" fontId="9" fillId="0" borderId="0" pivotButton="0" quotePrefix="0" xfId="0"/>
    <xf numFmtId="0" fontId="6" fillId="7" borderId="1" applyAlignment="1" pivotButton="0" quotePrefix="0" xfId="0">
      <alignment vertical="center" wrapText="1"/>
    </xf>
    <xf numFmtId="0" fontId="4" fillId="0" borderId="1" applyAlignment="1" pivotButton="0" quotePrefix="0" xfId="0">
      <alignment vertical="top"/>
    </xf>
    <xf numFmtId="9" fontId="4" fillId="0" borderId="1" applyAlignment="1" pivotButton="0" quotePrefix="0" xfId="0">
      <alignment vertical="top"/>
    </xf>
    <xf numFmtId="0" fontId="5" fillId="0" borderId="1" applyAlignment="1" pivotButton="0" quotePrefix="0" xfId="0">
      <alignment vertical="top"/>
    </xf>
    <xf numFmtId="9" fontId="5" fillId="0" borderId="1" applyAlignment="1" pivotButton="0" quotePrefix="0" xfId="0">
      <alignment vertical="top"/>
    </xf>
    <xf numFmtId="0" fontId="4" fillId="0" borderId="1" applyAlignment="1" pivotButton="0" quotePrefix="0" xfId="0">
      <alignment vertical="top" wrapText="1"/>
    </xf>
    <xf numFmtId="0" fontId="4" fillId="8" borderId="1" applyAlignment="1" pivotButton="0" quotePrefix="0" xfId="0">
      <alignment vertical="top"/>
    </xf>
    <xf numFmtId="0" fontId="4" fillId="8" borderId="1"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vertical="top" wrapText="1"/>
    </xf>
  </cellXfs>
  <cellStyles count="1">
    <cellStyle name="Normal" xfId="0" builtinId="0" hidden="0"/>
  </cellStyles>
  <dxfs count="5">
    <dxf>
      <fill>
        <patternFill patternType="solid">
          <fgColor rgb="00F0F2F1"/>
        </patternFill>
      </fill>
    </dxf>
    <dxf>
      <fill>
        <patternFill patternType="solid">
          <fgColor rgb="00DDF0E6"/>
        </patternFill>
      </fill>
    </dxf>
    <dxf>
      <fill>
        <patternFill patternType="solid">
          <fgColor rgb="00FBE1DE"/>
        </patternFill>
      </fill>
    </dxf>
    <dxf>
      <fill>
        <patternFill patternType="solid">
          <fgColor rgb="00FCF2C9"/>
        </patternFill>
      </fill>
    </dxf>
    <dxf>
      <fill>
        <patternFill patternType="solid">
          <fgColor rgb="00ECE9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0"/>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1">
      <c r="B1" s="1" t="inlineStr">
        <is>
          <t>Medical HRMS &amp; Jameah — Test Cases</t>
        </is>
      </c>
    </row>
    <row r="2">
      <c r="B2" s="2" t="inlineStr">
        <is>
          <t>For the testing team · prepared 21 Oct 2026</t>
        </is>
      </c>
    </row>
    <row r="4">
      <c r="B4" s="3" t="inlineStr">
        <is>
          <t>How to use</t>
        </is>
      </c>
    </row>
    <row r="5" ht="30" customHeight="1">
      <c r="B5" s="4" t="inlineStr">
        <is>
          <t>1. Use the test site (not live data) and the accounts in 'Test Accounts'.</t>
        </is>
      </c>
    </row>
    <row r="6" ht="30" customHeight="1">
      <c r="B6" s="4" t="inlineStr">
        <is>
          <t>2. Work through 'Test Cases' top to bottom. Fill the yellow columns: Result, Tested By, Test Date, Actual Result / Notes, Bug ID.</t>
        </is>
      </c>
    </row>
    <row r="7" ht="30" customHeight="1">
      <c r="B7" s="4" t="inlineStr">
        <is>
          <t>3. Every Fail or error pop-up gets a row in 'Bug Report' — with the exact date and time, the page address and the exact message. The client sees an error at unknown times, so the time and page are the most important facts.</t>
        </is>
      </c>
    </row>
    <row r="8" ht="30" customHeight="1">
      <c r="B8" s="4" t="inlineStr">
        <is>
          <t>4. 'Summary' counts results by module automatically.</t>
        </is>
      </c>
    </row>
    <row r="10">
      <c r="B10" s="3" t="inlineStr">
        <is>
          <t>Columns</t>
        </is>
      </c>
    </row>
    <row r="11">
      <c r="B11" s="5" t="inlineStr">
        <is>
          <t>Last automated run</t>
        </is>
      </c>
      <c r="C11" s="6" t="inlineStr">
        <is>
          <t>Result of the same check in the developer's automated browser run. A case can pass there and still fail for you — please test it anyway.</t>
        </is>
      </c>
    </row>
    <row r="12">
      <c r="B12" s="5" t="inlineStr">
        <is>
          <t>Priority</t>
        </is>
      </c>
      <c r="C12" s="6" t="inlineStr">
        <is>
          <t>Critical: blocks go-live. High: must work for UAT. Medium / Low: fix before or soon after go-live.</t>
        </is>
      </c>
    </row>
    <row r="13">
      <c r="B13" s="5" t="inlineStr">
        <is>
          <t>Type</t>
        </is>
      </c>
      <c r="C13" s="6" t="inlineStr">
        <is>
          <t>Functional, Negative (wrong input must be refused), Security, Regression (a bug that was fixed), Usability, Monitoring, Data.</t>
        </is>
      </c>
    </row>
    <row r="15">
      <c r="B15" s="3" t="inlineStr">
        <is>
          <t>Result values</t>
        </is>
      </c>
    </row>
    <row r="16">
      <c r="B16" s="7" t="inlineStr">
        <is>
          <t>Not run</t>
        </is>
      </c>
    </row>
    <row r="17">
      <c r="B17" s="8" t="inlineStr">
        <is>
          <t>Pass</t>
        </is>
      </c>
    </row>
    <row r="18">
      <c r="B18" s="9" t="inlineStr">
        <is>
          <t>Fail</t>
        </is>
      </c>
    </row>
    <row r="19">
      <c r="B19" s="10" t="inlineStr">
        <is>
          <t>Blocked</t>
        </is>
      </c>
    </row>
    <row r="20">
      <c r="B20" s="11" t="inlineStr">
        <is>
          <t>N/A</t>
        </is>
      </c>
    </row>
  </sheetData>
  <mergeCells count="4">
    <mergeCell ref="B8:C8"/>
    <mergeCell ref="B6:C6"/>
    <mergeCell ref="B5:C5"/>
    <mergeCell ref="B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showGridLines="0" workbookViewId="0">
      <selection activeCell="A1" sqref="A1"/>
    </sheetView>
  </sheetViews>
  <sheetFormatPr baseColWidth="8" defaultRowHeight="15"/>
  <cols>
    <col width="32" customWidth="1" min="1" max="1"/>
    <col width="8" customWidth="1" min="2" max="2"/>
    <col width="9" customWidth="1" min="3" max="3"/>
    <col width="8" customWidth="1" min="4" max="4"/>
    <col width="8" customWidth="1" min="5" max="5"/>
    <col width="9" customWidth="1" min="6" max="6"/>
    <col width="8" customWidth="1" min="7" max="7"/>
    <col width="15" customWidth="1" min="8" max="8"/>
    <col width="15" customWidth="1" min="9" max="9"/>
  </cols>
  <sheetData>
    <row r="1">
      <c r="A1" s="12" t="inlineStr">
        <is>
          <t>Test summary</t>
        </is>
      </c>
    </row>
    <row r="2">
      <c r="A2" s="13" t="inlineStr">
        <is>
          <t>Counts are formulas over the Test Cases sheet; they update as testers fill the Result column.</t>
        </is>
      </c>
    </row>
    <row r="4" ht="32" customHeight="1">
      <c r="A4" s="14" t="inlineStr">
        <is>
          <t>Module</t>
        </is>
      </c>
      <c r="B4" s="14" t="inlineStr">
        <is>
          <t>Cases</t>
        </is>
      </c>
      <c r="C4" s="14" t="inlineStr">
        <is>
          <t>Not run</t>
        </is>
      </c>
      <c r="D4" s="14" t="inlineStr">
        <is>
          <t>Pass</t>
        </is>
      </c>
      <c r="E4" s="14" t="inlineStr">
        <is>
          <t>Fail</t>
        </is>
      </c>
      <c r="F4" s="14" t="inlineStr">
        <is>
          <t>Blocked</t>
        </is>
      </c>
      <c r="G4" s="14" t="inlineStr">
        <is>
          <t>N/A</t>
        </is>
      </c>
      <c r="H4" s="14" t="inlineStr">
        <is>
          <t>% passed (of run)</t>
        </is>
      </c>
      <c r="I4" s="14" t="inlineStr">
        <is>
          <t>Critical not passed</t>
        </is>
      </c>
    </row>
    <row r="5">
      <c r="A5" s="15" t="inlineStr">
        <is>
          <t>Login &amp; landing</t>
        </is>
      </c>
      <c r="B5" s="15">
        <f>COUNTIF('Test Cases'!$B$2:$B$304,$A5)</f>
        <v/>
      </c>
      <c r="C5" s="15">
        <f>COUNTIFS('Test Cases'!$B$2:$B$304,$A5,'Test Cases'!$M$2:$M$304,C$4)</f>
        <v/>
      </c>
      <c r="D5" s="15">
        <f>COUNTIFS('Test Cases'!$B$2:$B$304,$A5,'Test Cases'!$M$2:$M$304,D$4)</f>
        <v/>
      </c>
      <c r="E5" s="15">
        <f>COUNTIFS('Test Cases'!$B$2:$B$304,$A5,'Test Cases'!$M$2:$M$304,E$4)</f>
        <v/>
      </c>
      <c r="F5" s="15">
        <f>COUNTIFS('Test Cases'!$B$2:$B$304,$A5,'Test Cases'!$M$2:$M$304,F$4)</f>
        <v/>
      </c>
      <c r="G5" s="15">
        <f>COUNTIFS('Test Cases'!$B$2:$B$304,$A5,'Test Cases'!$M$2:$M$304,G$4)</f>
        <v/>
      </c>
      <c r="H5" s="16">
        <f>IFERROR(D5/(D5+E5+F5),"-")</f>
        <v/>
      </c>
      <c r="I5" s="15">
        <f>COUNTIFS('Test Cases'!$B$2:$B$304,$A5,'Test Cases'!$I$2:$I$304,"Critical")-COUNTIFS('Test Cases'!$B$2:$B$304,$A5,'Test Cases'!$I$2:$I$304,"Critical",'Test Cases'!$M$2:$M$304,"Pass")</f>
        <v/>
      </c>
    </row>
    <row r="6">
      <c r="A6" s="15" t="inlineStr">
        <is>
          <t>HR Dashboard</t>
        </is>
      </c>
      <c r="B6" s="15">
        <f>COUNTIF('Test Cases'!$B$2:$B$304,$A6)</f>
        <v/>
      </c>
      <c r="C6" s="15">
        <f>COUNTIFS('Test Cases'!$B$2:$B$304,$A6,'Test Cases'!$M$2:$M$304,C$4)</f>
        <v/>
      </c>
      <c r="D6" s="15">
        <f>COUNTIFS('Test Cases'!$B$2:$B$304,$A6,'Test Cases'!$M$2:$M$304,D$4)</f>
        <v/>
      </c>
      <c r="E6" s="15">
        <f>COUNTIFS('Test Cases'!$B$2:$B$304,$A6,'Test Cases'!$M$2:$M$304,E$4)</f>
        <v/>
      </c>
      <c r="F6" s="15">
        <f>COUNTIFS('Test Cases'!$B$2:$B$304,$A6,'Test Cases'!$M$2:$M$304,F$4)</f>
        <v/>
      </c>
      <c r="G6" s="15">
        <f>COUNTIFS('Test Cases'!$B$2:$B$304,$A6,'Test Cases'!$M$2:$M$304,G$4)</f>
        <v/>
      </c>
      <c r="H6" s="16">
        <f>IFERROR(D6/(D6+E6+F6),"-")</f>
        <v/>
      </c>
      <c r="I6" s="15">
        <f>COUNTIFS('Test Cases'!$B$2:$B$304,$A6,'Test Cases'!$I$2:$I$304,"Critical")-COUNTIFS('Test Cases'!$B$2:$B$304,$A6,'Test Cases'!$I$2:$I$304,"Critical",'Test Cases'!$M$2:$M$304,"Pass")</f>
        <v/>
      </c>
    </row>
    <row r="7">
      <c r="A7" s="15" t="inlineStr">
        <is>
          <t>Employee self-service</t>
        </is>
      </c>
      <c r="B7" s="15">
        <f>COUNTIF('Test Cases'!$B$2:$B$304,$A7)</f>
        <v/>
      </c>
      <c r="C7" s="15">
        <f>COUNTIFS('Test Cases'!$B$2:$B$304,$A7,'Test Cases'!$M$2:$M$304,C$4)</f>
        <v/>
      </c>
      <c r="D7" s="15">
        <f>COUNTIFS('Test Cases'!$B$2:$B$304,$A7,'Test Cases'!$M$2:$M$304,D$4)</f>
        <v/>
      </c>
      <c r="E7" s="15">
        <f>COUNTIFS('Test Cases'!$B$2:$B$304,$A7,'Test Cases'!$M$2:$M$304,E$4)</f>
        <v/>
      </c>
      <c r="F7" s="15">
        <f>COUNTIFS('Test Cases'!$B$2:$B$304,$A7,'Test Cases'!$M$2:$M$304,F$4)</f>
        <v/>
      </c>
      <c r="G7" s="15">
        <f>COUNTIFS('Test Cases'!$B$2:$B$304,$A7,'Test Cases'!$M$2:$M$304,G$4)</f>
        <v/>
      </c>
      <c r="H7" s="16">
        <f>IFERROR(D7/(D7+E7+F7),"-")</f>
        <v/>
      </c>
      <c r="I7" s="15">
        <f>COUNTIFS('Test Cases'!$B$2:$B$304,$A7,'Test Cases'!$I$2:$I$304,"Critical")-COUNTIFS('Test Cases'!$B$2:$B$304,$A7,'Test Cases'!$I$2:$I$304,"Critical",'Test Cases'!$M$2:$M$304,"Pass")</f>
        <v/>
      </c>
    </row>
    <row r="8">
      <c r="A8" s="15" t="inlineStr">
        <is>
          <t>Leave</t>
        </is>
      </c>
      <c r="B8" s="15">
        <f>COUNTIF('Test Cases'!$B$2:$B$304,$A8)</f>
        <v/>
      </c>
      <c r="C8" s="15">
        <f>COUNTIFS('Test Cases'!$B$2:$B$304,$A8,'Test Cases'!$M$2:$M$304,C$4)</f>
        <v/>
      </c>
      <c r="D8" s="15">
        <f>COUNTIFS('Test Cases'!$B$2:$B$304,$A8,'Test Cases'!$M$2:$M$304,D$4)</f>
        <v/>
      </c>
      <c r="E8" s="15">
        <f>COUNTIFS('Test Cases'!$B$2:$B$304,$A8,'Test Cases'!$M$2:$M$304,E$4)</f>
        <v/>
      </c>
      <c r="F8" s="15">
        <f>COUNTIFS('Test Cases'!$B$2:$B$304,$A8,'Test Cases'!$M$2:$M$304,F$4)</f>
        <v/>
      </c>
      <c r="G8" s="15">
        <f>COUNTIFS('Test Cases'!$B$2:$B$304,$A8,'Test Cases'!$M$2:$M$304,G$4)</f>
        <v/>
      </c>
      <c r="H8" s="16">
        <f>IFERROR(D8/(D8+E8+F8),"-")</f>
        <v/>
      </c>
      <c r="I8" s="15">
        <f>COUNTIFS('Test Cases'!$B$2:$B$304,$A8,'Test Cases'!$I$2:$I$304,"Critical")-COUNTIFS('Test Cases'!$B$2:$B$304,$A8,'Test Cases'!$I$2:$I$304,"Critical",'Test Cases'!$M$2:$M$304,"Pass")</f>
        <v/>
      </c>
    </row>
    <row r="9">
      <c r="A9" s="15" t="inlineStr">
        <is>
          <t>HR approvals</t>
        </is>
      </c>
      <c r="B9" s="15">
        <f>COUNTIF('Test Cases'!$B$2:$B$304,$A9)</f>
        <v/>
      </c>
      <c r="C9" s="15">
        <f>COUNTIFS('Test Cases'!$B$2:$B$304,$A9,'Test Cases'!$M$2:$M$304,C$4)</f>
        <v/>
      </c>
      <c r="D9" s="15">
        <f>COUNTIFS('Test Cases'!$B$2:$B$304,$A9,'Test Cases'!$M$2:$M$304,D$4)</f>
        <v/>
      </c>
      <c r="E9" s="15">
        <f>COUNTIFS('Test Cases'!$B$2:$B$304,$A9,'Test Cases'!$M$2:$M$304,E$4)</f>
        <v/>
      </c>
      <c r="F9" s="15">
        <f>COUNTIFS('Test Cases'!$B$2:$B$304,$A9,'Test Cases'!$M$2:$M$304,F$4)</f>
        <v/>
      </c>
      <c r="G9" s="15">
        <f>COUNTIFS('Test Cases'!$B$2:$B$304,$A9,'Test Cases'!$M$2:$M$304,G$4)</f>
        <v/>
      </c>
      <c r="H9" s="16">
        <f>IFERROR(D9/(D9+E9+F9),"-")</f>
        <v/>
      </c>
      <c r="I9" s="15">
        <f>COUNTIFS('Test Cases'!$B$2:$B$304,$A9,'Test Cases'!$I$2:$I$304,"Critical")-COUNTIFS('Test Cases'!$B$2:$B$304,$A9,'Test Cases'!$I$2:$I$304,"Critical",'Test Cases'!$M$2:$M$304,"Pass")</f>
        <v/>
      </c>
    </row>
    <row r="10">
      <c r="A10" s="15" t="inlineStr">
        <is>
          <t>Security &amp; privacy</t>
        </is>
      </c>
      <c r="B10" s="15">
        <f>COUNTIF('Test Cases'!$B$2:$B$304,$A10)</f>
        <v/>
      </c>
      <c r="C10" s="15">
        <f>COUNTIFS('Test Cases'!$B$2:$B$304,$A10,'Test Cases'!$M$2:$M$304,C$4)</f>
        <v/>
      </c>
      <c r="D10" s="15">
        <f>COUNTIFS('Test Cases'!$B$2:$B$304,$A10,'Test Cases'!$M$2:$M$304,D$4)</f>
        <v/>
      </c>
      <c r="E10" s="15">
        <f>COUNTIFS('Test Cases'!$B$2:$B$304,$A10,'Test Cases'!$M$2:$M$304,E$4)</f>
        <v/>
      </c>
      <c r="F10" s="15">
        <f>COUNTIFS('Test Cases'!$B$2:$B$304,$A10,'Test Cases'!$M$2:$M$304,F$4)</f>
        <v/>
      </c>
      <c r="G10" s="15">
        <f>COUNTIFS('Test Cases'!$B$2:$B$304,$A10,'Test Cases'!$M$2:$M$304,G$4)</f>
        <v/>
      </c>
      <c r="H10" s="16">
        <f>IFERROR(D10/(D10+E10+F10),"-")</f>
        <v/>
      </c>
      <c r="I10" s="15">
        <f>COUNTIFS('Test Cases'!$B$2:$B$304,$A10,'Test Cases'!$I$2:$I$304,"Critical")-COUNTIFS('Test Cases'!$B$2:$B$304,$A10,'Test Cases'!$I$2:$I$304,"Critical",'Test Cases'!$M$2:$M$304,"Pass")</f>
        <v/>
      </c>
    </row>
    <row r="11">
      <c r="A11" s="15" t="inlineStr">
        <is>
          <t>Employee master &amp; Ministry fields</t>
        </is>
      </c>
      <c r="B11" s="15">
        <f>COUNTIF('Test Cases'!$B$2:$B$304,$A11)</f>
        <v/>
      </c>
      <c r="C11" s="15">
        <f>COUNTIFS('Test Cases'!$B$2:$B$304,$A11,'Test Cases'!$M$2:$M$304,C$4)</f>
        <v/>
      </c>
      <c r="D11" s="15">
        <f>COUNTIFS('Test Cases'!$B$2:$B$304,$A11,'Test Cases'!$M$2:$M$304,D$4)</f>
        <v/>
      </c>
      <c r="E11" s="15">
        <f>COUNTIFS('Test Cases'!$B$2:$B$304,$A11,'Test Cases'!$M$2:$M$304,E$4)</f>
        <v/>
      </c>
      <c r="F11" s="15">
        <f>COUNTIFS('Test Cases'!$B$2:$B$304,$A11,'Test Cases'!$M$2:$M$304,F$4)</f>
        <v/>
      </c>
      <c r="G11" s="15">
        <f>COUNTIFS('Test Cases'!$B$2:$B$304,$A11,'Test Cases'!$M$2:$M$304,G$4)</f>
        <v/>
      </c>
      <c r="H11" s="16">
        <f>IFERROR(D11/(D11+E11+F11),"-")</f>
        <v/>
      </c>
      <c r="I11" s="15">
        <f>COUNTIFS('Test Cases'!$B$2:$B$304,$A11,'Test Cases'!$I$2:$I$304,"Critical")-COUNTIFS('Test Cases'!$B$2:$B$304,$A11,'Test Cases'!$I$2:$I$304,"Critical",'Test Cases'!$M$2:$M$304,"Pass")</f>
        <v/>
      </c>
    </row>
    <row r="12">
      <c r="A12" s="15" t="inlineStr">
        <is>
          <t>Medical licences</t>
        </is>
      </c>
      <c r="B12" s="15">
        <f>COUNTIF('Test Cases'!$B$2:$B$304,$A12)</f>
        <v/>
      </c>
      <c r="C12" s="15">
        <f>COUNTIFS('Test Cases'!$B$2:$B$304,$A12,'Test Cases'!$M$2:$M$304,C$4)</f>
        <v/>
      </c>
      <c r="D12" s="15">
        <f>COUNTIFS('Test Cases'!$B$2:$B$304,$A12,'Test Cases'!$M$2:$M$304,D$4)</f>
        <v/>
      </c>
      <c r="E12" s="15">
        <f>COUNTIFS('Test Cases'!$B$2:$B$304,$A12,'Test Cases'!$M$2:$M$304,E$4)</f>
        <v/>
      </c>
      <c r="F12" s="15">
        <f>COUNTIFS('Test Cases'!$B$2:$B$304,$A12,'Test Cases'!$M$2:$M$304,F$4)</f>
        <v/>
      </c>
      <c r="G12" s="15">
        <f>COUNTIFS('Test Cases'!$B$2:$B$304,$A12,'Test Cases'!$M$2:$M$304,G$4)</f>
        <v/>
      </c>
      <c r="H12" s="16">
        <f>IFERROR(D12/(D12+E12+F12),"-")</f>
        <v/>
      </c>
      <c r="I12" s="15">
        <f>COUNTIFS('Test Cases'!$B$2:$B$304,$A12,'Test Cases'!$I$2:$I$304,"Critical")-COUNTIFS('Test Cases'!$B$2:$B$304,$A12,'Test Cases'!$I$2:$I$304,"Critical",'Test Cases'!$M$2:$M$304,"Pass")</f>
        <v/>
      </c>
    </row>
    <row r="13">
      <c r="A13" s="15" t="inlineStr">
        <is>
          <t>Recruitment</t>
        </is>
      </c>
      <c r="B13" s="15">
        <f>COUNTIF('Test Cases'!$B$2:$B$304,$A13)</f>
        <v/>
      </c>
      <c r="C13" s="15">
        <f>COUNTIFS('Test Cases'!$B$2:$B$304,$A13,'Test Cases'!$M$2:$M$304,C$4)</f>
        <v/>
      </c>
      <c r="D13" s="15">
        <f>COUNTIFS('Test Cases'!$B$2:$B$304,$A13,'Test Cases'!$M$2:$M$304,D$4)</f>
        <v/>
      </c>
      <c r="E13" s="15">
        <f>COUNTIFS('Test Cases'!$B$2:$B$304,$A13,'Test Cases'!$M$2:$M$304,E$4)</f>
        <v/>
      </c>
      <c r="F13" s="15">
        <f>COUNTIFS('Test Cases'!$B$2:$B$304,$A13,'Test Cases'!$M$2:$M$304,F$4)</f>
        <v/>
      </c>
      <c r="G13" s="15">
        <f>COUNTIFS('Test Cases'!$B$2:$B$304,$A13,'Test Cases'!$M$2:$M$304,G$4)</f>
        <v/>
      </c>
      <c r="H13" s="16">
        <f>IFERROR(D13/(D13+E13+F13),"-")</f>
        <v/>
      </c>
      <c r="I13" s="15">
        <f>COUNTIFS('Test Cases'!$B$2:$B$304,$A13,'Test Cases'!$I$2:$I$304,"Critical")-COUNTIFS('Test Cases'!$B$2:$B$304,$A13,'Test Cases'!$I$2:$I$304,"Critical",'Test Cases'!$M$2:$M$304,"Pass")</f>
        <v/>
      </c>
    </row>
    <row r="14">
      <c r="A14" s="15" t="inlineStr">
        <is>
          <t>Academic presence</t>
        </is>
      </c>
      <c r="B14" s="15">
        <f>COUNTIF('Test Cases'!$B$2:$B$304,$A14)</f>
        <v/>
      </c>
      <c r="C14" s="15">
        <f>COUNTIFS('Test Cases'!$B$2:$B$304,$A14,'Test Cases'!$M$2:$M$304,C$4)</f>
        <v/>
      </c>
      <c r="D14" s="15">
        <f>COUNTIFS('Test Cases'!$B$2:$B$304,$A14,'Test Cases'!$M$2:$M$304,D$4)</f>
        <v/>
      </c>
      <c r="E14" s="15">
        <f>COUNTIFS('Test Cases'!$B$2:$B$304,$A14,'Test Cases'!$M$2:$M$304,E$4)</f>
        <v/>
      </c>
      <c r="F14" s="15">
        <f>COUNTIFS('Test Cases'!$B$2:$B$304,$A14,'Test Cases'!$M$2:$M$304,F$4)</f>
        <v/>
      </c>
      <c r="G14" s="15">
        <f>COUNTIFS('Test Cases'!$B$2:$B$304,$A14,'Test Cases'!$M$2:$M$304,G$4)</f>
        <v/>
      </c>
      <c r="H14" s="16">
        <f>IFERROR(D14/(D14+E14+F14),"-")</f>
        <v/>
      </c>
      <c r="I14" s="15">
        <f>COUNTIFS('Test Cases'!$B$2:$B$304,$A14,'Test Cases'!$I$2:$I$304,"Critical")-COUNTIFS('Test Cases'!$B$2:$B$304,$A14,'Test Cases'!$I$2:$I$304,"Critical",'Test Cases'!$M$2:$M$304,"Pass")</f>
        <v/>
      </c>
    </row>
    <row r="15">
      <c r="A15" s="15" t="inlineStr">
        <is>
          <t>Jameah (Ministry)</t>
        </is>
      </c>
      <c r="B15" s="15">
        <f>COUNTIF('Test Cases'!$B$2:$B$304,$A15)</f>
        <v/>
      </c>
      <c r="C15" s="15">
        <f>COUNTIFS('Test Cases'!$B$2:$B$304,$A15,'Test Cases'!$M$2:$M$304,C$4)</f>
        <v/>
      </c>
      <c r="D15" s="15">
        <f>COUNTIFS('Test Cases'!$B$2:$B$304,$A15,'Test Cases'!$M$2:$M$304,D$4)</f>
        <v/>
      </c>
      <c r="E15" s="15">
        <f>COUNTIFS('Test Cases'!$B$2:$B$304,$A15,'Test Cases'!$M$2:$M$304,E$4)</f>
        <v/>
      </c>
      <c r="F15" s="15">
        <f>COUNTIFS('Test Cases'!$B$2:$B$304,$A15,'Test Cases'!$M$2:$M$304,F$4)</f>
        <v/>
      </c>
      <c r="G15" s="15">
        <f>COUNTIFS('Test Cases'!$B$2:$B$304,$A15,'Test Cases'!$M$2:$M$304,G$4)</f>
        <v/>
      </c>
      <c r="H15" s="16">
        <f>IFERROR(D15/(D15+E15+F15),"-")</f>
        <v/>
      </c>
      <c r="I15" s="15">
        <f>COUNTIFS('Test Cases'!$B$2:$B$304,$A15,'Test Cases'!$I$2:$I$304,"Critical")-COUNTIFS('Test Cases'!$B$2:$B$304,$A15,'Test Cases'!$I$2:$I$304,"Critical",'Test Cases'!$M$2:$M$304,"Pass")</f>
        <v/>
      </c>
    </row>
    <row r="16">
      <c r="A16" s="15" t="inlineStr">
        <is>
          <t>Errors &amp; monitoring</t>
        </is>
      </c>
      <c r="B16" s="15">
        <f>COUNTIF('Test Cases'!$B$2:$B$304,$A16)</f>
        <v/>
      </c>
      <c r="C16" s="15">
        <f>COUNTIFS('Test Cases'!$B$2:$B$304,$A16,'Test Cases'!$M$2:$M$304,C$4)</f>
        <v/>
      </c>
      <c r="D16" s="15">
        <f>COUNTIFS('Test Cases'!$B$2:$B$304,$A16,'Test Cases'!$M$2:$M$304,D$4)</f>
        <v/>
      </c>
      <c r="E16" s="15">
        <f>COUNTIFS('Test Cases'!$B$2:$B$304,$A16,'Test Cases'!$M$2:$M$304,E$4)</f>
        <v/>
      </c>
      <c r="F16" s="15">
        <f>COUNTIFS('Test Cases'!$B$2:$B$304,$A16,'Test Cases'!$M$2:$M$304,F$4)</f>
        <v/>
      </c>
      <c r="G16" s="15">
        <f>COUNTIFS('Test Cases'!$B$2:$B$304,$A16,'Test Cases'!$M$2:$M$304,G$4)</f>
        <v/>
      </c>
      <c r="H16" s="16">
        <f>IFERROR(D16/(D16+E16+F16),"-")</f>
        <v/>
      </c>
      <c r="I16" s="15">
        <f>COUNTIFS('Test Cases'!$B$2:$B$304,$A16,'Test Cases'!$I$2:$I$304,"Critical")-COUNTIFS('Test Cases'!$B$2:$B$304,$A16,'Test Cases'!$I$2:$I$304,"Critical",'Test Cases'!$M$2:$M$304,"Pass")</f>
        <v/>
      </c>
    </row>
    <row r="17">
      <c r="A17" s="17" t="inlineStr">
        <is>
          <t>All modules</t>
        </is>
      </c>
      <c r="B17" s="17">
        <f>SUM(B5:B16)</f>
        <v/>
      </c>
      <c r="C17" s="17">
        <f>SUM(C5:C16)</f>
        <v/>
      </c>
      <c r="D17" s="17">
        <f>SUM(D5:D16)</f>
        <v/>
      </c>
      <c r="E17" s="17">
        <f>SUM(E5:E16)</f>
        <v/>
      </c>
      <c r="F17" s="17">
        <f>SUM(F5:F16)</f>
        <v/>
      </c>
      <c r="G17" s="17">
        <f>SUM(G5:G16)</f>
        <v/>
      </c>
      <c r="H17" s="18">
        <f>IFERROR(D17/(D17+E17+F17),"-")</f>
        <v/>
      </c>
      <c r="I17" s="17">
        <f>SUM(I5:I16)</f>
        <v/>
      </c>
    </row>
    <row r="19">
      <c r="A19" s="17" t="inlineStr">
        <is>
          <t>Last automated run (developer)</t>
        </is>
      </c>
    </row>
    <row r="20">
      <c r="A20" s="15" t="inlineStr">
        <is>
          <t>Pass</t>
        </is>
      </c>
      <c r="B20" s="15">
        <f>COUNTIF('Test Cases'!$L$2:$L$304,"Pass")</f>
        <v/>
      </c>
    </row>
    <row r="21">
      <c r="A21" s="15" t="inlineStr">
        <is>
          <t>Fail</t>
        </is>
      </c>
      <c r="B21" s="15">
        <f>COUNTIF('Test Cases'!$L$2:$L$304,"Fail")</f>
        <v/>
      </c>
    </row>
    <row r="22">
      <c r="A22" s="15" t="inlineStr">
        <is>
          <t>Manual only / unit test</t>
        </is>
      </c>
      <c r="B22" s="15">
        <f>COUNTA('Test Cases'!$L$2:$L$104)-B20-B21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2" customWidth="1" min="3" max="3"/>
    <col width="16" customWidth="1" min="4" max="4"/>
    <col width="26" customWidth="1" min="5" max="5"/>
    <col width="46" customWidth="1" min="6" max="6"/>
    <col width="16" customWidth="1" min="7" max="7"/>
    <col width="44" customWidth="1" min="8" max="8"/>
    <col width="9" customWidth="1" min="9" max="9"/>
    <col width="11" customWidth="1" min="10" max="10"/>
    <col width="13" customWidth="1" min="11" max="11"/>
    <col width="13" customWidth="1" min="12" max="12"/>
    <col width="11" customWidth="1" min="13" max="13"/>
    <col width="13" customWidth="1" min="14" max="14"/>
    <col width="12" customWidth="1" min="15" max="15"/>
    <col width="34" customWidth="1" min="16" max="16"/>
    <col width="9" customWidth="1" min="17" max="17"/>
  </cols>
  <sheetData>
    <row r="1" ht="32" customHeight="1">
      <c r="A1" s="14" t="inlineStr">
        <is>
          <t>TC ID</t>
        </is>
      </c>
      <c r="B1" s="14" t="inlineStr">
        <is>
          <t>Module</t>
        </is>
      </c>
      <c r="C1" s="14" t="inlineStr">
        <is>
          <t>Scenario</t>
        </is>
      </c>
      <c r="D1" s="14" t="inlineStr">
        <is>
          <t>Login / role</t>
        </is>
      </c>
      <c r="E1" s="14" t="inlineStr">
        <is>
          <t>Preconditions</t>
        </is>
      </c>
      <c r="F1" s="14" t="inlineStr">
        <is>
          <t>Steps</t>
        </is>
      </c>
      <c r="G1" s="14" t="inlineStr">
        <is>
          <t>Test data</t>
        </is>
      </c>
      <c r="H1" s="14" t="inlineStr">
        <is>
          <t>Expected result</t>
        </is>
      </c>
      <c r="I1" s="14" t="inlineStr">
        <is>
          <t>Priority</t>
        </is>
      </c>
      <c r="J1" s="14" t="inlineStr">
        <is>
          <t>Type</t>
        </is>
      </c>
      <c r="K1" s="14" t="inlineStr">
        <is>
          <t>Automated test</t>
        </is>
      </c>
      <c r="L1" s="14" t="inlineStr">
        <is>
          <t>Last automated run</t>
        </is>
      </c>
      <c r="M1" s="14" t="inlineStr">
        <is>
          <t>Result</t>
        </is>
      </c>
      <c r="N1" s="14" t="inlineStr">
        <is>
          <t>Tested by</t>
        </is>
      </c>
      <c r="O1" s="14" t="inlineStr">
        <is>
          <t>Test date</t>
        </is>
      </c>
      <c r="P1" s="14" t="inlineStr">
        <is>
          <t>Actual result / notes</t>
        </is>
      </c>
      <c r="Q1" s="14" t="inlineStr">
        <is>
          <t>Bug ID</t>
        </is>
      </c>
    </row>
    <row r="2">
      <c r="A2" s="17" t="inlineStr">
        <is>
          <t>TC-LGN-01</t>
        </is>
      </c>
      <c r="B2" s="15" t="inlineStr">
        <is>
          <t>Login &amp; landing</t>
        </is>
      </c>
      <c r="C2" s="19" t="inlineStr">
        <is>
          <t>HR Manager lands on the HR Dashboard</t>
        </is>
      </c>
      <c r="D2" s="15" t="inlineStr">
        <is>
          <t>HR Manager</t>
        </is>
      </c>
      <c r="E2" s="19" t="inlineStr">
        <is>
          <t>HR Manager login exists.</t>
        </is>
      </c>
      <c r="F2" s="19" t="inlineStr">
        <is>
          <t>1. Open /login.
2. Enter HR Manager e-mail and password.
3. Click Login.</t>
        </is>
      </c>
      <c r="G2" s="19" t="inlineStr">
        <is>
          <t>HR Manager account</t>
        </is>
      </c>
      <c r="H2" s="19" t="inlineStr">
        <is>
          <t>The HR Dashboard opens (/app/hr-dashboard) showing 'Welcome back, HR Team'. No error pop-up.</t>
        </is>
      </c>
      <c r="I2" s="15" t="inlineStr">
        <is>
          <t>Critical</t>
        </is>
      </c>
      <c r="J2" s="15" t="inlineStr">
        <is>
          <t>Functional</t>
        </is>
      </c>
      <c r="K2" s="15" t="inlineStr">
        <is>
          <t>LGN-01</t>
        </is>
      </c>
      <c r="L2" s="15" t="inlineStr">
        <is>
          <t>Pass</t>
        </is>
      </c>
      <c r="M2" s="20" t="inlineStr">
        <is>
          <t>Not run</t>
        </is>
      </c>
      <c r="N2" s="20" t="inlineStr"/>
      <c r="O2" s="20" t="inlineStr"/>
      <c r="P2" s="21" t="inlineStr"/>
      <c r="Q2" s="20" t="inlineStr"/>
    </row>
    <row r="3">
      <c r="A3" s="17" t="inlineStr">
        <is>
          <t>TC-LGN-02</t>
        </is>
      </c>
      <c r="B3" s="15" t="inlineStr">
        <is>
          <t>Login &amp; landing</t>
        </is>
      </c>
      <c r="C3" s="19" t="inlineStr">
        <is>
          <t>HR User lands on the HR Dashboard</t>
        </is>
      </c>
      <c r="D3" s="15" t="inlineStr">
        <is>
          <t>HR User</t>
        </is>
      </c>
      <c r="E3" s="19" t="inlineStr">
        <is>
          <t>HR User login exists.</t>
        </is>
      </c>
      <c r="F3" s="19" t="inlineStr">
        <is>
          <t>Same as TC-LGN-01 with the HR User account.</t>
        </is>
      </c>
      <c r="G3" s="19" t="inlineStr">
        <is>
          <t>HR User account</t>
        </is>
      </c>
      <c r="H3" s="19" t="inlineStr">
        <is>
          <t>HR Dashboard opens.</t>
        </is>
      </c>
      <c r="I3" s="15" t="inlineStr">
        <is>
          <t>High</t>
        </is>
      </c>
      <c r="J3" s="15" t="inlineStr">
        <is>
          <t>Functional</t>
        </is>
      </c>
      <c r="K3" s="15" t="inlineStr">
        <is>
          <t>LGN-02</t>
        </is>
      </c>
      <c r="L3" s="15" t="inlineStr">
        <is>
          <t>Pass</t>
        </is>
      </c>
      <c r="M3" s="20" t="inlineStr">
        <is>
          <t>Not run</t>
        </is>
      </c>
      <c r="N3" s="20" t="inlineStr"/>
      <c r="O3" s="20" t="inlineStr"/>
      <c r="P3" s="21" t="inlineStr"/>
      <c r="Q3" s="20" t="inlineStr"/>
    </row>
    <row r="4">
      <c r="A4" s="17" t="inlineStr">
        <is>
          <t>TC-LGN-03</t>
        </is>
      </c>
      <c r="B4" s="15" t="inlineStr">
        <is>
          <t>Login &amp; landing</t>
        </is>
      </c>
      <c r="C4" s="19" t="inlineStr">
        <is>
          <t>Employee lands on the Employee Dashboard</t>
        </is>
      </c>
      <c r="D4" s="15" t="inlineStr">
        <is>
          <t>Employee</t>
        </is>
      </c>
      <c r="E4" s="19" t="inlineStr">
        <is>
          <t>Employee login linked to an Employee record.</t>
        </is>
      </c>
      <c r="F4" s="19" t="inlineStr">
        <is>
          <t>Log in as the employee.</t>
        </is>
      </c>
      <c r="G4" s="19" t="inlineStr">
        <is>
          <t>Employee account</t>
        </is>
      </c>
      <c r="H4" s="19" t="inlineStr">
        <is>
          <t>Employee Dashboard opens with their name and Employee ID.</t>
        </is>
      </c>
      <c r="I4" s="15" t="inlineStr">
        <is>
          <t>Critical</t>
        </is>
      </c>
      <c r="J4" s="15" t="inlineStr">
        <is>
          <t>Functional</t>
        </is>
      </c>
      <c r="K4" s="15" t="inlineStr">
        <is>
          <t>LGN-03</t>
        </is>
      </c>
      <c r="L4" s="15" t="inlineStr">
        <is>
          <t>Pass</t>
        </is>
      </c>
      <c r="M4" s="20" t="inlineStr">
        <is>
          <t>Not run</t>
        </is>
      </c>
      <c r="N4" s="20" t="inlineStr"/>
      <c r="O4" s="20" t="inlineStr"/>
      <c r="P4" s="21" t="inlineStr"/>
      <c r="Q4" s="20" t="inlineStr"/>
    </row>
    <row r="5">
      <c r="A5" s="17" t="inlineStr">
        <is>
          <t>TC-LGN-04</t>
        </is>
      </c>
      <c r="B5" s="15" t="inlineStr">
        <is>
          <t>Login &amp; landing</t>
        </is>
      </c>
      <c r="C5" s="19" t="inlineStr">
        <is>
          <t>Instructor keeps the Instructor dashboard</t>
        </is>
      </c>
      <c r="D5" s="15" t="inlineStr">
        <is>
          <t>Instructor</t>
        </is>
      </c>
      <c r="E5" s="19" t="inlineStr">
        <is>
          <t>Instructor login.</t>
        </is>
      </c>
      <c r="F5" s="19" t="inlineStr">
        <is>
          <t>Log in as the instructor.</t>
        </is>
      </c>
      <c r="G5" s="19" t="inlineStr">
        <is>
          <t>Instructor account</t>
        </is>
      </c>
      <c r="H5" s="19" t="inlineStr">
        <is>
          <t>Instructor Portal opens (not the HR or Employee dashboard).</t>
        </is>
      </c>
      <c r="I5" s="15" t="inlineStr">
        <is>
          <t>High</t>
        </is>
      </c>
      <c r="J5" s="15" t="inlineStr">
        <is>
          <t>Regression</t>
        </is>
      </c>
      <c r="K5" s="15" t="inlineStr">
        <is>
          <t>LGN-04</t>
        </is>
      </c>
      <c r="L5" s="15" t="inlineStr">
        <is>
          <t>Pass</t>
        </is>
      </c>
      <c r="M5" s="20" t="inlineStr">
        <is>
          <t>Not run</t>
        </is>
      </c>
      <c r="N5" s="20" t="inlineStr"/>
      <c r="O5" s="20" t="inlineStr"/>
      <c r="P5" s="21" t="inlineStr"/>
      <c r="Q5" s="20" t="inlineStr"/>
    </row>
    <row r="6">
      <c r="A6" s="17" t="inlineStr">
        <is>
          <t>TC-LGN-05</t>
        </is>
      </c>
      <c r="B6" s="15" t="inlineStr">
        <is>
          <t>Login &amp; landing</t>
        </is>
      </c>
      <c r="C6" s="19" t="inlineStr">
        <is>
          <t>Opening /app again returns to the user's dashboard</t>
        </is>
      </c>
      <c r="D6" s="15" t="inlineStr">
        <is>
          <t>HR Manager</t>
        </is>
      </c>
      <c r="E6" s="19" t="inlineStr">
        <is>
          <t>Logged in.</t>
        </is>
      </c>
      <c r="F6" s="19" t="inlineStr">
        <is>
          <t>1. Open a new browser tab.
2. Go to /app.</t>
        </is>
      </c>
      <c r="G6" s="19" t="inlineStr">
        <is>
          <t>—</t>
        </is>
      </c>
      <c r="H6" s="19" t="inlineStr">
        <is>
          <t>The same dashboard opens again.</t>
        </is>
      </c>
      <c r="I6" s="15" t="inlineStr">
        <is>
          <t>Medium</t>
        </is>
      </c>
      <c r="J6" s="15" t="inlineStr">
        <is>
          <t>Functional</t>
        </is>
      </c>
      <c r="K6" s="15" t="inlineStr">
        <is>
          <t>LGN-01..04</t>
        </is>
      </c>
      <c r="L6" s="15" t="inlineStr">
        <is>
          <t>Pass</t>
        </is>
      </c>
      <c r="M6" s="20" t="inlineStr">
        <is>
          <t>Not run</t>
        </is>
      </c>
      <c r="N6" s="20" t="inlineStr"/>
      <c r="O6" s="20" t="inlineStr"/>
      <c r="P6" s="21" t="inlineStr"/>
      <c r="Q6" s="20" t="inlineStr"/>
    </row>
    <row r="7">
      <c r="A7" s="17" t="inlineStr">
        <is>
          <t>TC-LGN-06</t>
        </is>
      </c>
      <c r="B7" s="15" t="inlineStr">
        <is>
          <t>Login &amp; landing</t>
        </is>
      </c>
      <c r="C7" s="19" t="inlineStr">
        <is>
          <t>Wrong password</t>
        </is>
      </c>
      <c r="D7" s="15" t="inlineStr">
        <is>
          <t>Applicant (not logged in)</t>
        </is>
      </c>
      <c r="E7" s="19" t="inlineStr">
        <is>
          <t>—</t>
        </is>
      </c>
      <c r="F7" s="19" t="inlineStr">
        <is>
          <t>1. Open /login.
2. Enter a valid e-mail and a wrong password.
3. Click Login.</t>
        </is>
      </c>
      <c r="G7" s="19" t="inlineStr">
        <is>
          <t>Wrong password</t>
        </is>
      </c>
      <c r="H7" s="19" t="inlineStr">
        <is>
          <t>An 'invalid login' message; stays on the login page.</t>
        </is>
      </c>
      <c r="I7" s="15" t="inlineStr">
        <is>
          <t>Medium</t>
        </is>
      </c>
      <c r="J7" s="15" t="inlineStr">
        <is>
          <t>Negative</t>
        </is>
      </c>
      <c r="K7" s="15" t="inlineStr">
        <is>
          <t>LGN-05</t>
        </is>
      </c>
      <c r="L7" s="15" t="inlineStr">
        <is>
          <t>Pass</t>
        </is>
      </c>
      <c r="M7" s="20" t="inlineStr">
        <is>
          <t>Not run</t>
        </is>
      </c>
      <c r="N7" s="20" t="inlineStr"/>
      <c r="O7" s="20" t="inlineStr"/>
      <c r="P7" s="21" t="inlineStr"/>
      <c r="Q7" s="20" t="inlineStr"/>
    </row>
    <row r="8">
      <c r="A8" s="17" t="inlineStr">
        <is>
          <t>TC-LGN-07</t>
        </is>
      </c>
      <c r="B8" s="15" t="inlineStr">
        <is>
          <t>Login &amp; landing</t>
        </is>
      </c>
      <c r="C8" s="19" t="inlineStr">
        <is>
          <t>Logout and log in as a different role</t>
        </is>
      </c>
      <c r="D8" s="15" t="inlineStr">
        <is>
          <t>HR Manager</t>
        </is>
      </c>
      <c r="E8" s="19" t="inlineStr">
        <is>
          <t>Logged in as HR.</t>
        </is>
      </c>
      <c r="F8" s="19" t="inlineStr">
        <is>
          <t>1. Log out.
2. Log in as an employee.</t>
        </is>
      </c>
      <c r="G8" s="19" t="inlineStr">
        <is>
          <t>Two accounts</t>
        </is>
      </c>
      <c r="H8" s="19" t="inlineStr">
        <is>
          <t>Employee lands on the Employee Dashboard; no HR pages are shown.</t>
        </is>
      </c>
      <c r="I8" s="15" t="inlineStr">
        <is>
          <t>Medium</t>
        </is>
      </c>
      <c r="J8" s="15" t="inlineStr">
        <is>
          <t>Functional</t>
        </is>
      </c>
      <c r="K8" s="15" t="inlineStr">
        <is>
          <t>—</t>
        </is>
      </c>
      <c r="L8" s="15" t="inlineStr">
        <is>
          <t>Manual only</t>
        </is>
      </c>
      <c r="M8" s="20" t="inlineStr">
        <is>
          <t>Not run</t>
        </is>
      </c>
      <c r="N8" s="20" t="inlineStr"/>
      <c r="O8" s="20" t="inlineStr"/>
      <c r="P8" s="21" t="inlineStr"/>
      <c r="Q8" s="20" t="inlineStr"/>
    </row>
    <row r="9">
      <c r="A9" s="17" t="inlineStr">
        <is>
          <t>TC-LGN-08</t>
        </is>
      </c>
      <c r="B9" s="15" t="inlineStr">
        <is>
          <t>Login &amp; landing</t>
        </is>
      </c>
      <c r="C9" s="19" t="inlineStr">
        <is>
          <t>Breadcrumbs never lead to 'Not permitted'</t>
        </is>
      </c>
      <c r="D9" s="15" t="inlineStr">
        <is>
          <t>Employee</t>
        </is>
      </c>
      <c r="E9" s="19" t="inlineStr">
        <is>
          <t>Logged in as an employee.</t>
        </is>
      </c>
      <c r="F9" s="19" t="inlineStr">
        <is>
          <t>1. Open the Employee Dashboard, Leave Application list and a request list.
2. Click every link in the top bar next to the logo (breadcrumbs).</t>
        </is>
      </c>
      <c r="G9" s="19" t="inlineStr">
        <is>
          <t>—</t>
        </is>
      </c>
      <c r="H9" s="19" t="inlineStr">
        <is>
          <t>Each breadcrumb opens a page the employee can see (e.g. Employee Self Service). Never 'Not permitted'.</t>
        </is>
      </c>
      <c r="I9" s="15" t="inlineStr">
        <is>
          <t>High</t>
        </is>
      </c>
      <c r="J9" s="15" t="inlineStr">
        <is>
          <t>Regression</t>
        </is>
      </c>
      <c r="K9" s="15" t="inlineStr">
        <is>
          <t>NAV-01</t>
        </is>
      </c>
      <c r="L9" s="15" t="inlineStr">
        <is>
          <t>Pass</t>
        </is>
      </c>
      <c r="M9" s="20" t="inlineStr">
        <is>
          <t>Not run</t>
        </is>
      </c>
      <c r="N9" s="20" t="inlineStr"/>
      <c r="O9" s="20" t="inlineStr"/>
      <c r="P9" s="21" t="inlineStr"/>
      <c r="Q9" s="20" t="inlineStr"/>
    </row>
    <row r="10">
      <c r="A10" s="17" t="inlineStr">
        <is>
          <t>TC-LGN-09</t>
        </is>
      </c>
      <c r="B10" s="15" t="inlineStr">
        <is>
          <t>Login &amp; landing</t>
        </is>
      </c>
      <c r="C10" s="19" t="inlineStr">
        <is>
          <t>HR breadcrumbs</t>
        </is>
      </c>
      <c r="D10" s="15" t="inlineStr">
        <is>
          <t>HR Manager</t>
        </is>
      </c>
      <c r="E10" s="19" t="inlineStr">
        <is>
          <t>Logged in as HR.</t>
        </is>
      </c>
      <c r="F10" s="19" t="inlineStr">
        <is>
          <t>Same as TC-LGN-08 as HR.</t>
        </is>
      </c>
      <c r="G10" s="19" t="inlineStr">
        <is>
          <t>—</t>
        </is>
      </c>
      <c r="H10" s="19" t="inlineStr">
        <is>
          <t>Breadcrumbs open (Medical HRMS, HR...).</t>
        </is>
      </c>
      <c r="I10" s="15" t="inlineStr">
        <is>
          <t>Medium</t>
        </is>
      </c>
      <c r="J10" s="15" t="inlineStr">
        <is>
          <t>Regression</t>
        </is>
      </c>
      <c r="K10" s="15" t="inlineStr">
        <is>
          <t>NAV-02</t>
        </is>
      </c>
      <c r="L10" s="15" t="inlineStr">
        <is>
          <t>Pass</t>
        </is>
      </c>
      <c r="M10" s="20" t="inlineStr">
        <is>
          <t>Not run</t>
        </is>
      </c>
      <c r="N10" s="20" t="inlineStr"/>
      <c r="O10" s="20" t="inlineStr"/>
      <c r="P10" s="21" t="inlineStr"/>
      <c r="Q10" s="20" t="inlineStr"/>
    </row>
    <row r="11">
      <c r="A11" s="17" t="inlineStr">
        <is>
          <t>TC-LGN-10</t>
        </is>
      </c>
      <c r="B11" s="15" t="inlineStr">
        <is>
          <t>Login &amp; landing</t>
        </is>
      </c>
      <c r="C11" s="19" t="inlineStr">
        <is>
          <t>New portal design: menu, top bar, heading</t>
        </is>
      </c>
      <c r="D11" s="15" t="inlineStr">
        <is>
          <t>HR Manager</t>
        </is>
      </c>
      <c r="E11" s="19" t="inlineStr">
        <is>
          <t>Logged in as HR.</t>
        </is>
      </c>
      <c r="F11" s="19" t="inlineStr">
        <is>
          <t>1. Look at the left menu, the top bar and the heading.
2. Open each menu section (Employee Requests, Leave ...) and a few pages from it.
3. Click 'Collapse menu', then expand it again.</t>
        </is>
      </c>
      <c r="G11" s="19" t="inlineStr">
        <is>
          <t>—</t>
        </is>
      </c>
      <c r="H11" s="19" t="inlineStr">
        <is>
          <t>Same style as the Instructor Portal: dark-green menu with sections, breadcrumb 'HR Portal / Dashboard', EN/AR, moon icon, bell and initials on the top bar. Every menu page opens (no 'Not permitted').</t>
        </is>
      </c>
      <c r="I11" s="15" t="inlineStr">
        <is>
          <t>High</t>
        </is>
      </c>
      <c r="J11" s="15" t="inlineStr">
        <is>
          <t>Functional</t>
        </is>
      </c>
      <c r="K11" s="15" t="inlineStr">
        <is>
          <t>HRD-03</t>
        </is>
      </c>
      <c r="L11" s="15" t="inlineStr">
        <is>
          <t>Pass</t>
        </is>
      </c>
      <c r="M11" s="20" t="inlineStr">
        <is>
          <t>Not run</t>
        </is>
      </c>
      <c r="N11" s="20" t="inlineStr"/>
      <c r="O11" s="20" t="inlineStr"/>
      <c r="P11" s="21" t="inlineStr"/>
      <c r="Q11" s="20" t="inlineStr"/>
    </row>
    <row r="12">
      <c r="A12" s="17" t="inlineStr">
        <is>
          <t>TC-LGN-11</t>
        </is>
      </c>
      <c r="B12" s="15" t="inlineStr">
        <is>
          <t>Login &amp; landing</t>
        </is>
      </c>
      <c r="C12" s="19" t="inlineStr">
        <is>
          <t>Employee Portal menu actions</t>
        </is>
      </c>
      <c r="D12" s="15" t="inlineStr">
        <is>
          <t>Employee</t>
        </is>
      </c>
      <c r="E12" s="19" t="inlineStr">
        <is>
          <t>Logged in as an employee.</t>
        </is>
      </c>
      <c r="F12" s="19" t="inlineStr">
        <is>
          <t>1. Menu &gt; New Request &gt; Permission Request.
2. Menu &gt; My Leave and Recent Requests.
3. Menu &gt; My Profile.</t>
        </is>
      </c>
      <c r="G12" s="19" t="inlineStr">
        <is>
          <t>—</t>
        </is>
      </c>
      <c r="H12" s="19" t="inlineStr">
        <is>
          <t>1 opens the Permission Request form; 2 scrolls to that section; 3 shows your profile. No HR entries in the menu.</t>
        </is>
      </c>
      <c r="I12" s="15" t="inlineStr">
        <is>
          <t>High</t>
        </is>
      </c>
      <c r="J12" s="15" t="inlineStr">
        <is>
          <t>Functional</t>
        </is>
      </c>
      <c r="K12" s="15" t="inlineStr">
        <is>
          <t>SHL-01</t>
        </is>
      </c>
      <c r="L12" s="15" t="inlineStr">
        <is>
          <t>Pass</t>
        </is>
      </c>
      <c r="M12" s="20" t="inlineStr">
        <is>
          <t>Not run</t>
        </is>
      </c>
      <c r="N12" s="20" t="inlineStr"/>
      <c r="O12" s="20" t="inlineStr"/>
      <c r="P12" s="21" t="inlineStr"/>
      <c r="Q12" s="20" t="inlineStr"/>
    </row>
    <row r="13">
      <c r="A13" s="17" t="inlineStr">
        <is>
          <t>TC-LGN-12</t>
        </is>
      </c>
      <c r="B13" s="15" t="inlineStr">
        <is>
          <t>Login &amp; landing</t>
        </is>
      </c>
      <c r="C13" s="19" t="inlineStr">
        <is>
          <t>Dark mode and Arabic from the top bar</t>
        </is>
      </c>
      <c r="D13" s="15" t="inlineStr">
        <is>
          <t>Employee</t>
        </is>
      </c>
      <c r="E13" s="19" t="inlineStr">
        <is>
          <t>Logged in.</t>
        </is>
      </c>
      <c r="F13" s="19" t="inlineStr">
        <is>
          <t>1. Click the moon icon; click it again.
2. Click AR; check the page; click EN.</t>
        </is>
      </c>
      <c r="G13" s="19" t="inlineStr">
        <is>
          <t>—</t>
        </is>
      </c>
      <c r="H13" s="19" t="inlineStr">
        <is>
          <t>Dark mode switches on and off. In Arabic the menu moves to the right and labels are in Arabic; EN switches back.</t>
        </is>
      </c>
      <c r="I13" s="15" t="inlineStr">
        <is>
          <t>Medium</t>
        </is>
      </c>
      <c r="J13" s="15" t="inlineStr">
        <is>
          <t>Functional</t>
        </is>
      </c>
      <c r="K13" s="15" t="inlineStr">
        <is>
          <t>SHL-05</t>
        </is>
      </c>
      <c r="L13" s="15" t="inlineStr">
        <is>
          <t>Pass</t>
        </is>
      </c>
      <c r="M13" s="20" t="inlineStr">
        <is>
          <t>Not run</t>
        </is>
      </c>
      <c r="N13" s="20" t="inlineStr"/>
      <c r="O13" s="20" t="inlineStr"/>
      <c r="P13" s="21" t="inlineStr"/>
      <c r="Q13" s="20" t="inlineStr"/>
    </row>
    <row r="14">
      <c r="A14" s="17" t="inlineStr">
        <is>
          <t>TC-LGN-13</t>
        </is>
      </c>
      <c r="B14" s="15" t="inlineStr">
        <is>
          <t>Login &amp; landing</t>
        </is>
      </c>
      <c r="C14" s="19" t="inlineStr">
        <is>
          <t>Leaving the portal and coming back</t>
        </is>
      </c>
      <c r="D14" s="15" t="inlineStr">
        <is>
          <t>HR Manager</t>
        </is>
      </c>
      <c r="E14" s="19" t="inlineStr">
        <is>
          <t>Logged in as HR.</t>
        </is>
      </c>
      <c r="F14" s="19" t="inlineStr">
        <is>
          <t>1. Menu &gt; HR Transactions &gt; Expense Claim.
2. Use the browser Back button.</t>
        </is>
      </c>
      <c r="G14" s="19" t="inlineStr">
        <is>
          <t>—</t>
        </is>
      </c>
      <c r="H14" s="19" t="inlineStr">
        <is>
          <t>The Expense Claim list opens in the standard view with the normal top bar; Back returns to the portal.</t>
        </is>
      </c>
      <c r="I14" s="15" t="inlineStr">
        <is>
          <t>Medium</t>
        </is>
      </c>
      <c r="J14" s="15" t="inlineStr">
        <is>
          <t>Functional</t>
        </is>
      </c>
      <c r="K14" s="15" t="inlineStr">
        <is>
          <t>SHL-03</t>
        </is>
      </c>
      <c r="L14" s="15" t="inlineStr">
        <is>
          <t>Pass</t>
        </is>
      </c>
      <c r="M14" s="20" t="inlineStr">
        <is>
          <t>Not run</t>
        </is>
      </c>
      <c r="N14" s="20" t="inlineStr"/>
      <c r="O14" s="20" t="inlineStr"/>
      <c r="P14" s="21" t="inlineStr"/>
      <c r="Q14" s="20" t="inlineStr"/>
    </row>
    <row r="15">
      <c r="A15" s="17" t="inlineStr">
        <is>
          <t>TC-LGN-14</t>
        </is>
      </c>
      <c r="B15" s="15" t="inlineStr">
        <is>
          <t>Login &amp; landing</t>
        </is>
      </c>
      <c r="C15" s="19" t="inlineStr">
        <is>
          <t>Portal on a phone</t>
        </is>
      </c>
      <c r="D15" s="15" t="inlineStr">
        <is>
          <t>Employee</t>
        </is>
      </c>
      <c r="E15" s="19" t="inlineStr">
        <is>
          <t>Phone or narrow browser window.</t>
        </is>
      </c>
      <c r="F15" s="19" t="inlineStr">
        <is>
          <t>1. Open the dashboard on a phone.
2. Tap the menu button (three lines) and pick an entry.</t>
        </is>
      </c>
      <c r="G15" s="19" t="inlineStr">
        <is>
          <t>—</t>
        </is>
      </c>
      <c r="H15" s="19" t="inlineStr">
        <is>
          <t>Cards stack in two columns, no sideways scrolling; the menu slides in and closes after a tap.</t>
        </is>
      </c>
      <c r="I15" s="15" t="inlineStr">
        <is>
          <t>Medium</t>
        </is>
      </c>
      <c r="J15" s="15" t="inlineStr">
        <is>
          <t>Functional</t>
        </is>
      </c>
      <c r="K15" s="15" t="inlineStr">
        <is>
          <t>—</t>
        </is>
      </c>
      <c r="L15" s="15" t="inlineStr">
        <is>
          <t>Manual only</t>
        </is>
      </c>
      <c r="M15" s="20" t="inlineStr">
        <is>
          <t>Not run</t>
        </is>
      </c>
      <c r="N15" s="20" t="inlineStr"/>
      <c r="O15" s="20" t="inlineStr"/>
      <c r="P15" s="21" t="inlineStr"/>
      <c r="Q15" s="20" t="inlineStr"/>
    </row>
    <row r="16">
      <c r="A16" s="17" t="inlineStr">
        <is>
          <t>TC-HRD-01</t>
        </is>
      </c>
      <c r="B16" s="15" t="inlineStr">
        <is>
          <t>HR Dashboard</t>
        </is>
      </c>
      <c r="C16" s="19" t="inlineStr">
        <is>
          <t>Stat cards show numbers</t>
        </is>
      </c>
      <c r="D16" s="15" t="inlineStr">
        <is>
          <t>HR Manager</t>
        </is>
      </c>
      <c r="E16" s="19" t="inlineStr">
        <is>
          <t>Logged in as HR.</t>
        </is>
      </c>
      <c r="F16" s="19" t="inlineStr">
        <is>
          <t>Look at the four cards at the top.</t>
        </is>
      </c>
      <c r="G16" s="19" t="inlineStr">
        <is>
          <t>—</t>
        </is>
      </c>
      <c r="H16" s="19" t="inlineStr">
        <is>
          <t>Total Employees, Pending Training, Pending Allowance and Active Licenses show numbers (no 'NaN', no error).</t>
        </is>
      </c>
      <c r="I16" s="15" t="inlineStr">
        <is>
          <t>High</t>
        </is>
      </c>
      <c r="J16" s="15" t="inlineStr">
        <is>
          <t>Functional</t>
        </is>
      </c>
      <c r="K16" s="15" t="inlineStr">
        <is>
          <t>HRD-02</t>
        </is>
      </c>
      <c r="L16" s="15" t="inlineStr">
        <is>
          <t>Pass</t>
        </is>
      </c>
      <c r="M16" s="20" t="inlineStr">
        <is>
          <t>Not run</t>
        </is>
      </c>
      <c r="N16" s="20" t="inlineStr"/>
      <c r="O16" s="20" t="inlineStr"/>
      <c r="P16" s="21" t="inlineStr"/>
      <c r="Q16" s="20" t="inlineStr"/>
    </row>
    <row r="17">
      <c r="A17" s="17" t="inlineStr">
        <is>
          <t>TC-HRD-02</t>
        </is>
      </c>
      <c r="B17" s="15" t="inlineStr">
        <is>
          <t>HR Dashboard</t>
        </is>
      </c>
      <c r="C17" s="19" t="inlineStr">
        <is>
          <t>Every link opens</t>
        </is>
      </c>
      <c r="D17" s="15" t="inlineStr">
        <is>
          <t>HR Manager</t>
        </is>
      </c>
      <c r="E17" s="19" t="inlineStr">
        <is>
          <t>Logged in as HR.</t>
        </is>
      </c>
      <c r="F17" s="19" t="inlineStr">
        <is>
          <t>Click every 'Open' link and button on the HR Dashboard, coming back each time.</t>
        </is>
      </c>
      <c r="G17" s="19" t="inlineStr">
        <is>
          <t>—</t>
        </is>
      </c>
      <c r="H17" s="19" t="inlineStr">
        <is>
          <t>Each page opens. No 'Not permitted', 'Page not found' or red error pop-up.</t>
        </is>
      </c>
      <c r="I17" s="15" t="inlineStr">
        <is>
          <t>Critical</t>
        </is>
      </c>
      <c r="J17" s="15" t="inlineStr">
        <is>
          <t>Functional</t>
        </is>
      </c>
      <c r="K17" s="15" t="inlineStr">
        <is>
          <t>HRD-03</t>
        </is>
      </c>
      <c r="L17" s="15" t="inlineStr">
        <is>
          <t>Pass</t>
        </is>
      </c>
      <c r="M17" s="20" t="inlineStr">
        <is>
          <t>Not run</t>
        </is>
      </c>
      <c r="N17" s="20" t="inlineStr"/>
      <c r="O17" s="20" t="inlineStr"/>
      <c r="P17" s="21" t="inlineStr"/>
      <c r="Q17" s="20" t="inlineStr"/>
    </row>
    <row r="18">
      <c r="A18" s="17" t="inlineStr">
        <is>
          <t>TC-HRD-03</t>
        </is>
      </c>
      <c r="B18" s="15" t="inlineStr">
        <is>
          <t>HR Dashboard</t>
        </is>
      </c>
      <c r="C18" s="19" t="inlineStr">
        <is>
          <t>Request Management counts match the lists</t>
        </is>
      </c>
      <c r="D18" s="15" t="inlineStr">
        <is>
          <t>HR Manager</t>
        </is>
      </c>
      <c r="E18" s="19" t="inlineStr">
        <is>
          <t>Some requests exist.</t>
        </is>
      </c>
      <c r="F18" s="19" t="inlineStr">
        <is>
          <t>1. Note the count on a request card.
2. Open that list and compare.</t>
        </is>
      </c>
      <c r="G18" s="19" t="inlineStr">
        <is>
          <t>—</t>
        </is>
      </c>
      <c r="H18" s="19" t="inlineStr">
        <is>
          <t>The count matches the number of records in the list.</t>
        </is>
      </c>
      <c r="I18" s="15" t="inlineStr">
        <is>
          <t>Medium</t>
        </is>
      </c>
      <c r="J18" s="15" t="inlineStr">
        <is>
          <t>Functional</t>
        </is>
      </c>
      <c r="K18" s="15" t="inlineStr">
        <is>
          <t>—</t>
        </is>
      </c>
      <c r="L18" s="15" t="inlineStr">
        <is>
          <t>Manual only</t>
        </is>
      </c>
      <c r="M18" s="20" t="inlineStr">
        <is>
          <t>Not run</t>
        </is>
      </c>
      <c r="N18" s="20" t="inlineStr"/>
      <c r="O18" s="20" t="inlineStr"/>
      <c r="P18" s="21" t="inlineStr"/>
      <c r="Q18" s="20" t="inlineStr"/>
    </row>
    <row r="19">
      <c r="A19" s="17" t="inlineStr">
        <is>
          <t>TC-HRD-04</t>
        </is>
      </c>
      <c r="B19" s="15" t="inlineStr">
        <is>
          <t>HR Dashboard</t>
        </is>
      </c>
      <c r="C19" s="19" t="inlineStr">
        <is>
          <t>Medical HRMS workspace</t>
        </is>
      </c>
      <c r="D19" s="15" t="inlineStr">
        <is>
          <t>HR Manager</t>
        </is>
      </c>
      <c r="E19" s="19" t="inlineStr">
        <is>
          <t>Logged in as HR.</t>
        </is>
      </c>
      <c r="F19" s="19" t="inlineStr">
        <is>
          <t>Open /app/medical-hrms.</t>
        </is>
      </c>
      <c r="G19" s="19" t="inlineStr">
        <is>
          <t>—</t>
        </is>
      </c>
      <c r="H19" s="19" t="inlineStr">
        <is>
          <t>Workspace loads with its shortcuts.</t>
        </is>
      </c>
      <c r="I19" s="15" t="inlineStr">
        <is>
          <t>Low</t>
        </is>
      </c>
      <c r="J19" s="15" t="inlineStr">
        <is>
          <t>Functional</t>
        </is>
      </c>
      <c r="K19" s="15" t="inlineStr">
        <is>
          <t>HRD-04</t>
        </is>
      </c>
      <c r="L19" s="15" t="inlineStr">
        <is>
          <t>Pass</t>
        </is>
      </c>
      <c r="M19" s="20" t="inlineStr">
        <is>
          <t>Not run</t>
        </is>
      </c>
      <c r="N19" s="20" t="inlineStr"/>
      <c r="O19" s="20" t="inlineStr"/>
      <c r="P19" s="21" t="inlineStr"/>
      <c r="Q19" s="20" t="inlineStr"/>
    </row>
    <row r="20">
      <c r="A20" s="17" t="inlineStr">
        <is>
          <t>TC-HRD-05</t>
        </is>
      </c>
      <c r="B20" s="15" t="inlineStr">
        <is>
          <t>HR Dashboard</t>
        </is>
      </c>
      <c r="C20" s="19" t="inlineStr">
        <is>
          <t>Activate Medical Leave Year</t>
        </is>
      </c>
      <c r="D20" s="15" t="inlineStr">
        <is>
          <t>HR Manager</t>
        </is>
      </c>
      <c r="E20" s="19" t="inlineStr">
        <is>
          <t>An employee with medical leave policy.</t>
        </is>
      </c>
      <c r="F20" s="19" t="inlineStr">
        <is>
          <t>1. Click 'Activate Medical Leave Year'.
2. Choose the employee and first illness date.
3. Confirm.</t>
        </is>
      </c>
      <c r="G20" s="19" t="inlineStr">
        <is>
          <t>Employee, date</t>
        </is>
      </c>
      <c r="H20" s="19" t="inlineStr">
        <is>
          <t>Confirmation message; the employee's sick-leave allocations appear.</t>
        </is>
      </c>
      <c r="I20" s="15" t="inlineStr">
        <is>
          <t>Medium</t>
        </is>
      </c>
      <c r="J20" s="15" t="inlineStr">
        <is>
          <t>Functional</t>
        </is>
      </c>
      <c r="K20" s="15" t="inlineStr">
        <is>
          <t>—</t>
        </is>
      </c>
      <c r="L20" s="15" t="inlineStr">
        <is>
          <t>Manual only</t>
        </is>
      </c>
      <c r="M20" s="20" t="inlineStr">
        <is>
          <t>Not run</t>
        </is>
      </c>
      <c r="N20" s="20" t="inlineStr"/>
      <c r="O20" s="20" t="inlineStr"/>
      <c r="P20" s="21" t="inlineStr"/>
      <c r="Q20" s="20" t="inlineStr"/>
    </row>
    <row r="21">
      <c r="A21" s="17" t="inlineStr">
        <is>
          <t>TC-ESS-01</t>
        </is>
      </c>
      <c r="B21" s="15" t="inlineStr">
        <is>
          <t>Employee self-service</t>
        </is>
      </c>
      <c r="C21" s="19" t="inlineStr">
        <is>
          <t>Dashboard header and services</t>
        </is>
      </c>
      <c r="D21" s="15" t="inlineStr">
        <is>
          <t>Employee</t>
        </is>
      </c>
      <c r="E21" s="19" t="inlineStr">
        <is>
          <t>Logged in as employee.</t>
        </is>
      </c>
      <c r="F21" s="19" t="inlineStr">
        <is>
          <t>Open the Employee Dashboard.</t>
        </is>
      </c>
      <c r="G21" s="19" t="inlineStr">
        <is>
          <t>—</t>
        </is>
      </c>
      <c r="H21" s="19" t="inlineStr">
        <is>
          <t>Shows name, Employee ID, designation, department, leave balance table and 10 service cards.</t>
        </is>
      </c>
      <c r="I21" s="15" t="inlineStr">
        <is>
          <t>High</t>
        </is>
      </c>
      <c r="J21" s="15" t="inlineStr">
        <is>
          <t>Functional</t>
        </is>
      </c>
      <c r="K21" s="15" t="inlineStr">
        <is>
          <t>ESS-02/03</t>
        </is>
      </c>
      <c r="L21" s="15" t="inlineStr">
        <is>
          <t>Pass</t>
        </is>
      </c>
      <c r="M21" s="20" t="inlineStr">
        <is>
          <t>Not run</t>
        </is>
      </c>
      <c r="N21" s="20" t="inlineStr"/>
      <c r="O21" s="20" t="inlineStr"/>
      <c r="P21" s="21" t="inlineStr"/>
      <c r="Q21" s="20" t="inlineStr"/>
    </row>
    <row r="22">
      <c r="A22" s="17" t="inlineStr">
        <is>
          <t>TC-ESS-02</t>
        </is>
      </c>
      <c r="B22" s="15" t="inlineStr">
        <is>
          <t>Employee self-service</t>
        </is>
      </c>
      <c r="C22" s="19" t="inlineStr">
        <is>
          <t>Permission Request with time pickers</t>
        </is>
      </c>
      <c r="D22" s="15" t="inlineStr">
        <is>
          <t>Employee</t>
        </is>
      </c>
      <c r="E22" s="19" t="inlineStr">
        <is>
          <t>—</t>
        </is>
      </c>
      <c r="F22" s="19" t="inlineStr">
        <is>
          <t>1. Permission Request -&gt; New Request.
2. Pick a date.
3. From 10:15 AM, To 11:45 AM using the hour/minute/AM-PM boxes.
4. Enter a reason.
5. Send Request.</t>
        </is>
      </c>
      <c r="G22" s="19" t="inlineStr">
        <is>
          <t>10:15 AM – 11:45 AM</t>
        </is>
      </c>
      <c r="H22" s="19" t="inlineStr">
        <is>
          <t>'Request sent for review'. In My Requests the times show 10:15 and 11:45; status Pending.</t>
        </is>
      </c>
      <c r="I22" s="15" t="inlineStr">
        <is>
          <t>High</t>
        </is>
      </c>
      <c r="J22" s="15" t="inlineStr">
        <is>
          <t>Functional</t>
        </is>
      </c>
      <c r="K22" s="15" t="inlineStr">
        <is>
          <t>ESS-04</t>
        </is>
      </c>
      <c r="L22" s="15" t="inlineStr">
        <is>
          <t>Pass</t>
        </is>
      </c>
      <c r="M22" s="20" t="inlineStr">
        <is>
          <t>Not run</t>
        </is>
      </c>
      <c r="N22" s="20" t="inlineStr"/>
      <c r="O22" s="20" t="inlineStr"/>
      <c r="P22" s="21" t="inlineStr"/>
      <c r="Q22" s="20" t="inlineStr"/>
    </row>
    <row r="23">
      <c r="A23" s="17" t="inlineStr">
        <is>
          <t>TC-ESS-03</t>
        </is>
      </c>
      <c r="B23" s="15" t="inlineStr">
        <is>
          <t>Employee self-service</t>
        </is>
      </c>
      <c r="C23" s="19" t="inlineStr">
        <is>
          <t>Incomplete time is refused</t>
        </is>
      </c>
      <c r="D23" s="15" t="inlineStr">
        <is>
          <t>Employee</t>
        </is>
      </c>
      <c r="E23" s="19" t="inlineStr">
        <is>
          <t>—</t>
        </is>
      </c>
      <c r="F23" s="19" t="inlineStr">
        <is>
          <t>In Permission Request choose only the hour (no minute / AM-PM) and Send.</t>
        </is>
      </c>
      <c r="G23" s="19" t="inlineStr">
        <is>
          <t>Hour only</t>
        </is>
      </c>
      <c r="H23" s="19" t="inlineStr">
        <is>
          <t>Message asking for hour, minute and AM/PM; nothing is saved.</t>
        </is>
      </c>
      <c r="I23" s="15" t="inlineStr">
        <is>
          <t>Medium</t>
        </is>
      </c>
      <c r="J23" s="15" t="inlineStr">
        <is>
          <t>Negative</t>
        </is>
      </c>
      <c r="K23" s="15" t="inlineStr">
        <is>
          <t>ESS-05</t>
        </is>
      </c>
      <c r="L23" s="15" t="inlineStr">
        <is>
          <t>Pass</t>
        </is>
      </c>
      <c r="M23" s="20" t="inlineStr">
        <is>
          <t>Not run</t>
        </is>
      </c>
      <c r="N23" s="20" t="inlineStr"/>
      <c r="O23" s="20" t="inlineStr"/>
      <c r="P23" s="21" t="inlineStr"/>
      <c r="Q23" s="20" t="inlineStr"/>
    </row>
    <row r="24">
      <c r="A24" s="17" t="inlineStr">
        <is>
          <t>TC-ESS-04</t>
        </is>
      </c>
      <c r="B24" s="15" t="inlineStr">
        <is>
          <t>Employee self-service</t>
        </is>
      </c>
      <c r="C24" s="19" t="inlineStr">
        <is>
          <t>Remote Work Request</t>
        </is>
      </c>
      <c r="D24" s="15" t="inlineStr">
        <is>
          <t>Employee</t>
        </is>
      </c>
      <c r="E24" s="19" t="inlineStr">
        <is>
          <t>—</t>
        </is>
      </c>
      <c r="F24" s="19" t="inlineStr">
        <is>
          <t>New Request -&gt; fill dates, work plan, location -&gt; Send.</t>
        </is>
      </c>
      <c r="G24" s="19" t="inlineStr">
        <is>
          <t>One working day</t>
        </is>
      </c>
      <c r="H24" s="19" t="inlineStr">
        <is>
          <t>Status Pending.</t>
        </is>
      </c>
      <c r="I24" s="15" t="inlineStr">
        <is>
          <t>High</t>
        </is>
      </c>
      <c r="J24" s="15" t="inlineStr">
        <is>
          <t>Functional</t>
        </is>
      </c>
      <c r="K24" s="15" t="inlineStr">
        <is>
          <t>ESS-06</t>
        </is>
      </c>
      <c r="L24" s="15" t="inlineStr">
        <is>
          <t>Pass</t>
        </is>
      </c>
      <c r="M24" s="20" t="inlineStr">
        <is>
          <t>Not run</t>
        </is>
      </c>
      <c r="N24" s="20" t="inlineStr"/>
      <c r="O24" s="20" t="inlineStr"/>
      <c r="P24" s="21" t="inlineStr"/>
      <c r="Q24" s="20" t="inlineStr"/>
    </row>
    <row r="25">
      <c r="A25" s="17" t="inlineStr">
        <is>
          <t>TC-ESS-05</t>
        </is>
      </c>
      <c r="B25" s="15" t="inlineStr">
        <is>
          <t>Employee self-service</t>
        </is>
      </c>
      <c r="C25" s="19" t="inlineStr">
        <is>
          <t>Salary Certificate Request</t>
        </is>
      </c>
      <c r="D25" s="15" t="inlineStr">
        <is>
          <t>Employee</t>
        </is>
      </c>
      <c r="E25" s="19" t="inlineStr">
        <is>
          <t>—</t>
        </is>
      </c>
      <c r="F25" s="19" t="inlineStr">
        <is>
          <t>New Request -&gt; purpose, addressee -&gt; Send.</t>
        </is>
      </c>
      <c r="G25" s="19" t="inlineStr">
        <is>
          <t>Bank Loan</t>
        </is>
      </c>
      <c r="H25" s="19" t="inlineStr">
        <is>
          <t>Status Pending.</t>
        </is>
      </c>
      <c r="I25" s="15" t="inlineStr">
        <is>
          <t>High</t>
        </is>
      </c>
      <c r="J25" s="15" t="inlineStr">
        <is>
          <t>Functional</t>
        </is>
      </c>
      <c r="K25" s="15" t="inlineStr">
        <is>
          <t>ESS-07</t>
        </is>
      </c>
      <c r="L25" s="15" t="inlineStr">
        <is>
          <t>Pass</t>
        </is>
      </c>
      <c r="M25" s="20" t="inlineStr">
        <is>
          <t>Not run</t>
        </is>
      </c>
      <c r="N25" s="20" t="inlineStr"/>
      <c r="O25" s="20" t="inlineStr"/>
      <c r="P25" s="21" t="inlineStr"/>
      <c r="Q25" s="20" t="inlineStr"/>
    </row>
    <row r="26">
      <c r="A26" s="17" t="inlineStr">
        <is>
          <t>TC-ESS-06</t>
        </is>
      </c>
      <c r="B26" s="15" t="inlineStr">
        <is>
          <t>Employee self-service</t>
        </is>
      </c>
      <c r="C26" s="19" t="inlineStr">
        <is>
          <t>Overtime pre-approval</t>
        </is>
      </c>
      <c r="D26" s="15" t="inlineStr">
        <is>
          <t>Employee</t>
        </is>
      </c>
      <c r="E26" s="19" t="inlineStr">
        <is>
          <t>—</t>
        </is>
      </c>
      <c r="F26" s="19" t="inlineStr">
        <is>
          <t>New Request -&gt; date, hours, type, justification -&gt; Send.</t>
        </is>
      </c>
      <c r="G26" s="19" t="inlineStr">
        <is>
          <t>2 hours</t>
        </is>
      </c>
      <c r="H26" s="19" t="inlineStr">
        <is>
          <t>Status Pending.</t>
        </is>
      </c>
      <c r="I26" s="15" t="inlineStr">
        <is>
          <t>Medium</t>
        </is>
      </c>
      <c r="J26" s="15" t="inlineStr">
        <is>
          <t>Functional</t>
        </is>
      </c>
      <c r="K26" s="15" t="inlineStr">
        <is>
          <t>ESS-08</t>
        </is>
      </c>
      <c r="L26" s="15" t="inlineStr">
        <is>
          <t>Pass</t>
        </is>
      </c>
      <c r="M26" s="20" t="inlineStr">
        <is>
          <t>Not run</t>
        </is>
      </c>
      <c r="N26" s="20" t="inlineStr"/>
      <c r="O26" s="20" t="inlineStr"/>
      <c r="P26" s="21" t="inlineStr"/>
      <c r="Q26" s="20" t="inlineStr"/>
    </row>
    <row r="27">
      <c r="A27" s="17" t="inlineStr">
        <is>
          <t>TC-ESS-07</t>
        </is>
      </c>
      <c r="B27" s="15" t="inlineStr">
        <is>
          <t>Employee self-service</t>
        </is>
      </c>
      <c r="C27" s="19" t="inlineStr">
        <is>
          <t>Training Request</t>
        </is>
      </c>
      <c r="D27" s="15" t="inlineStr">
        <is>
          <t>Employee</t>
        </is>
      </c>
      <c r="E27" s="19" t="inlineStr">
        <is>
          <t>—</t>
        </is>
      </c>
      <c r="F27" s="19" t="inlineStr">
        <is>
          <t>New Request -&gt; course, provider, cost, benefit -&gt; Send.</t>
        </is>
      </c>
      <c r="G27" s="19" t="inlineStr">
        <is>
          <t>Cost 1500</t>
        </is>
      </c>
      <c r="H27" s="19" t="inlineStr">
        <is>
          <t>Status Pending.</t>
        </is>
      </c>
      <c r="I27" s="15" t="inlineStr">
        <is>
          <t>Medium</t>
        </is>
      </c>
      <c r="J27" s="15" t="inlineStr">
        <is>
          <t>Functional</t>
        </is>
      </c>
      <c r="K27" s="15" t="inlineStr">
        <is>
          <t>ESS-09</t>
        </is>
      </c>
      <c r="L27" s="15" t="inlineStr">
        <is>
          <t>Pass</t>
        </is>
      </c>
      <c r="M27" s="20" t="inlineStr">
        <is>
          <t>Not run</t>
        </is>
      </c>
      <c r="N27" s="20" t="inlineStr"/>
      <c r="O27" s="20" t="inlineStr"/>
      <c r="P27" s="21" t="inlineStr"/>
      <c r="Q27" s="20" t="inlineStr"/>
    </row>
    <row r="28">
      <c r="A28" s="17" t="inlineStr">
        <is>
          <t>TC-ESS-08</t>
        </is>
      </c>
      <c r="B28" s="15" t="inlineStr">
        <is>
          <t>Employee self-service</t>
        </is>
      </c>
      <c r="C28" s="19" t="inlineStr">
        <is>
          <t>Children Medical Allowance with invoice</t>
        </is>
      </c>
      <c r="D28" s="15" t="inlineStr">
        <is>
          <t>Employee</t>
        </is>
      </c>
      <c r="E28" s="19" t="inlineStr">
        <is>
          <t>A small PDF invoice.</t>
        </is>
      </c>
      <c r="F28" s="19" t="inlineStr">
        <is>
          <t>1. New Request.
2. Fill child, school, year, amount, payment.
3. Attach the invoice (Upload).
4. Send.</t>
        </is>
      </c>
      <c r="G28" s="19" t="inlineStr">
        <is>
          <t>PDF invoice</t>
        </is>
      </c>
      <c r="H28" s="19" t="inlineStr">
        <is>
          <t>Upload succeeds; request Pending; the file is private (see TC-SEC-08).</t>
        </is>
      </c>
      <c r="I28" s="15" t="inlineStr">
        <is>
          <t>High</t>
        </is>
      </c>
      <c r="J28" s="15" t="inlineStr">
        <is>
          <t>Functional</t>
        </is>
      </c>
      <c r="K28" s="15" t="inlineStr">
        <is>
          <t>ESS-12</t>
        </is>
      </c>
      <c r="L28" s="15" t="inlineStr">
        <is>
          <t>Pass</t>
        </is>
      </c>
      <c r="M28" s="20" t="inlineStr">
        <is>
          <t>Not run</t>
        </is>
      </c>
      <c r="N28" s="20" t="inlineStr"/>
      <c r="O28" s="20" t="inlineStr"/>
      <c r="P28" s="21" t="inlineStr"/>
      <c r="Q28" s="20" t="inlineStr"/>
    </row>
    <row r="29">
      <c r="A29" s="17" t="inlineStr">
        <is>
          <t>TC-ESS-09</t>
        </is>
      </c>
      <c r="B29" s="15" t="inlineStr">
        <is>
          <t>Employee self-service</t>
        </is>
      </c>
      <c r="C29" s="19" t="inlineStr">
        <is>
          <t>Company Car Request</t>
        </is>
      </c>
      <c r="D29" s="15" t="inlineStr">
        <is>
          <t>Employee</t>
        </is>
      </c>
      <c r="E29" s="19" t="inlineStr">
        <is>
          <t>—</t>
        </is>
      </c>
      <c r="F29" s="19" t="inlineStr">
        <is>
          <t>New Request -&gt; justification, visits per week -&gt; Send.</t>
        </is>
      </c>
      <c r="G29" s="19" t="inlineStr">
        <is>
          <t>3 visits</t>
        </is>
      </c>
      <c r="H29" s="19" t="inlineStr">
        <is>
          <t>Status Pending.</t>
        </is>
      </c>
      <c r="I29" s="15" t="inlineStr">
        <is>
          <t>Low</t>
        </is>
      </c>
      <c r="J29" s="15" t="inlineStr">
        <is>
          <t>Functional</t>
        </is>
      </c>
      <c r="K29" s="15" t="inlineStr">
        <is>
          <t>ESS-10</t>
        </is>
      </c>
      <c r="L29" s="15" t="inlineStr">
        <is>
          <t>Pass</t>
        </is>
      </c>
      <c r="M29" s="20" t="inlineStr">
        <is>
          <t>Not run</t>
        </is>
      </c>
      <c r="N29" s="20" t="inlineStr"/>
      <c r="O29" s="20" t="inlineStr"/>
      <c r="P29" s="21" t="inlineStr"/>
      <c r="Q29" s="20" t="inlineStr"/>
    </row>
    <row r="30">
      <c r="A30" s="17" t="inlineStr">
        <is>
          <t>TC-ESS-10</t>
        </is>
      </c>
      <c r="B30" s="15" t="inlineStr">
        <is>
          <t>Employee self-service</t>
        </is>
      </c>
      <c r="C30" s="19" t="inlineStr">
        <is>
          <t>Update My Data</t>
        </is>
      </c>
      <c r="D30" s="15" t="inlineStr">
        <is>
          <t>Employee</t>
        </is>
      </c>
      <c r="E30" s="19" t="inlineStr">
        <is>
          <t>—</t>
        </is>
      </c>
      <c r="F30" s="19" t="inlineStr">
        <is>
          <t>New Request -&gt; type Address, new value -&gt; Send.</t>
        </is>
      </c>
      <c r="G30" s="19" t="inlineStr">
        <is>
          <t>New address</t>
        </is>
      </c>
      <c r="H30" s="19" t="inlineStr">
        <is>
          <t>Status Pending.</t>
        </is>
      </c>
      <c r="I30" s="15" t="inlineStr">
        <is>
          <t>Medium</t>
        </is>
      </c>
      <c r="J30" s="15" t="inlineStr">
        <is>
          <t>Functional</t>
        </is>
      </c>
      <c r="K30" s="15" t="inlineStr">
        <is>
          <t>ESS-11</t>
        </is>
      </c>
      <c r="L30" s="15" t="inlineStr">
        <is>
          <t>Pass</t>
        </is>
      </c>
      <c r="M30" s="20" t="inlineStr">
        <is>
          <t>Not run</t>
        </is>
      </c>
      <c r="N30" s="20" t="inlineStr"/>
      <c r="O30" s="20" t="inlineStr"/>
      <c r="P30" s="21" t="inlineStr"/>
      <c r="Q30" s="20" t="inlineStr"/>
    </row>
    <row r="31">
      <c r="A31" s="17" t="inlineStr">
        <is>
          <t>TC-ESS-11</t>
        </is>
      </c>
      <c r="B31" s="15" t="inlineStr">
        <is>
          <t>Employee self-service</t>
        </is>
      </c>
      <c r="C31" s="19" t="inlineStr">
        <is>
          <t>Save Draft</t>
        </is>
      </c>
      <c r="D31" s="15" t="inlineStr">
        <is>
          <t>Employee</t>
        </is>
      </c>
      <c r="E31" s="19" t="inlineStr">
        <is>
          <t>—</t>
        </is>
      </c>
      <c r="F31" s="19" t="inlineStr">
        <is>
          <t>Salary Certificate -&gt; fill -&gt; Save Draft.</t>
        </is>
      </c>
      <c r="G31" s="19" t="inlineStr">
        <is>
          <t>—</t>
        </is>
      </c>
      <c r="H31" s="19" t="inlineStr">
        <is>
          <t>Status Draft; not counted as Pending on the dashboard.</t>
        </is>
      </c>
      <c r="I31" s="15" t="inlineStr">
        <is>
          <t>Medium</t>
        </is>
      </c>
      <c r="J31" s="15" t="inlineStr">
        <is>
          <t>Functional</t>
        </is>
      </c>
      <c r="K31" s="15" t="inlineStr">
        <is>
          <t>ESS-13</t>
        </is>
      </c>
      <c r="L31" s="15" t="inlineStr">
        <is>
          <t>Pass</t>
        </is>
      </c>
      <c r="M31" s="20" t="inlineStr">
        <is>
          <t>Not run</t>
        </is>
      </c>
      <c r="N31" s="20" t="inlineStr"/>
      <c r="O31" s="20" t="inlineStr"/>
      <c r="P31" s="21" t="inlineStr"/>
      <c r="Q31" s="20" t="inlineStr"/>
    </row>
    <row r="32">
      <c r="A32" s="17" t="inlineStr">
        <is>
          <t>TC-ESS-12</t>
        </is>
      </c>
      <c r="B32" s="15" t="inlineStr">
        <is>
          <t>Employee self-service</t>
        </is>
      </c>
      <c r="C32" s="19" t="inlineStr">
        <is>
          <t>My Requests and details</t>
        </is>
      </c>
      <c r="D32" s="15" t="inlineStr">
        <is>
          <t>Employee</t>
        </is>
      </c>
      <c r="E32" s="19" t="inlineStr">
        <is>
          <t>Some requests sent.</t>
        </is>
      </c>
      <c r="F32" s="19" t="inlineStr">
        <is>
          <t>1. Click 'N request(s)' on a card.
2. Click a request.</t>
        </is>
      </c>
      <c r="G32" s="19" t="inlineStr">
        <is>
          <t>—</t>
        </is>
      </c>
      <c r="H32" s="19" t="inlineStr">
        <is>
          <t>List shows each request and status; details show the values entered.</t>
        </is>
      </c>
      <c r="I32" s="15" t="inlineStr">
        <is>
          <t>Medium</t>
        </is>
      </c>
      <c r="J32" s="15" t="inlineStr">
        <is>
          <t>Functional</t>
        </is>
      </c>
      <c r="K32" s="15" t="inlineStr">
        <is>
          <t>ESS-16</t>
        </is>
      </c>
      <c r="L32" s="15" t="inlineStr">
        <is>
          <t>Pass</t>
        </is>
      </c>
      <c r="M32" s="20" t="inlineStr">
        <is>
          <t>Not run</t>
        </is>
      </c>
      <c r="N32" s="20" t="inlineStr"/>
      <c r="O32" s="20" t="inlineStr"/>
      <c r="P32" s="21" t="inlineStr"/>
      <c r="Q32" s="20" t="inlineStr"/>
    </row>
    <row r="33">
      <c r="A33" s="17" t="inlineStr">
        <is>
          <t>TC-ESS-13</t>
        </is>
      </c>
      <c r="B33" s="15" t="inlineStr">
        <is>
          <t>Employee self-service</t>
        </is>
      </c>
      <c r="C33" s="19" t="inlineStr">
        <is>
          <t>Counters and Recent Requests</t>
        </is>
      </c>
      <c r="D33" s="15" t="inlineStr">
        <is>
          <t>Employee</t>
        </is>
      </c>
      <c r="E33" s="19" t="inlineStr">
        <is>
          <t>Requests sent.</t>
        </is>
      </c>
      <c r="F33" s="19" t="inlineStr">
        <is>
          <t>Reload the Employee Dashboard.</t>
        </is>
      </c>
      <c r="G33" s="19" t="inlineStr">
        <is>
          <t>—</t>
        </is>
      </c>
      <c r="H33" s="19" t="inlineStr">
        <is>
          <t>My Requests / Pending / Approved counters and the Recent Requests list match what was sent.</t>
        </is>
      </c>
      <c r="I33" s="15" t="inlineStr">
        <is>
          <t>Medium</t>
        </is>
      </c>
      <c r="J33" s="15" t="inlineStr">
        <is>
          <t>Functional</t>
        </is>
      </c>
      <c r="K33" s="15" t="inlineStr">
        <is>
          <t>ESS-15</t>
        </is>
      </c>
      <c r="L33" s="15" t="inlineStr">
        <is>
          <t>Pass</t>
        </is>
      </c>
      <c r="M33" s="20" t="inlineStr">
        <is>
          <t>Not run</t>
        </is>
      </c>
      <c r="N33" s="20" t="inlineStr"/>
      <c r="O33" s="20" t="inlineStr"/>
      <c r="P33" s="21" t="inlineStr"/>
      <c r="Q33" s="20" t="inlineStr"/>
    </row>
    <row r="34">
      <c r="A34" s="17" t="inlineStr">
        <is>
          <t>TC-ESS-14</t>
        </is>
      </c>
      <c r="B34" s="15" t="inlineStr">
        <is>
          <t>Employee self-service</t>
        </is>
      </c>
      <c r="C34" s="19" t="inlineStr">
        <is>
          <t>My Profile</t>
        </is>
      </c>
      <c r="D34" s="15" t="inlineStr">
        <is>
          <t>Employee</t>
        </is>
      </c>
      <c r="E34" s="19" t="inlineStr">
        <is>
          <t>—</t>
        </is>
      </c>
      <c r="F34" s="19" t="inlineStr">
        <is>
          <t>Click 'My Employee Profile'.</t>
        </is>
      </c>
      <c r="G34" s="19" t="inlineStr">
        <is>
          <t>—</t>
        </is>
      </c>
      <c r="H34" s="19" t="inlineStr">
        <is>
          <t>Pop-up with own name, designation, department, company.</t>
        </is>
      </c>
      <c r="I34" s="15" t="inlineStr">
        <is>
          <t>Low</t>
        </is>
      </c>
      <c r="J34" s="15" t="inlineStr">
        <is>
          <t>Functional</t>
        </is>
      </c>
      <c r="K34" s="15" t="inlineStr">
        <is>
          <t>ESS-17</t>
        </is>
      </c>
      <c r="L34" s="15" t="inlineStr">
        <is>
          <t>Pass</t>
        </is>
      </c>
      <c r="M34" s="20" t="inlineStr">
        <is>
          <t>Not run</t>
        </is>
      </c>
      <c r="N34" s="20" t="inlineStr"/>
      <c r="O34" s="20" t="inlineStr"/>
      <c r="P34" s="21" t="inlineStr"/>
      <c r="Q34" s="20" t="inlineStr"/>
    </row>
    <row r="35">
      <c r="A35" s="17" t="inlineStr">
        <is>
          <t>TC-ESS-15</t>
        </is>
      </c>
      <c r="B35" s="15" t="inlineStr">
        <is>
          <t>Employee self-service</t>
        </is>
      </c>
      <c r="C35" s="19" t="inlineStr">
        <is>
          <t>Dashboard on a phone</t>
        </is>
      </c>
      <c r="D35" s="15" t="inlineStr">
        <is>
          <t>Employee</t>
        </is>
      </c>
      <c r="E35" s="19" t="inlineStr">
        <is>
          <t>Phone or narrow browser window.</t>
        </is>
      </c>
      <c r="F35" s="19" t="inlineStr">
        <is>
          <t>Open the Employee Dashboard and send one request.</t>
        </is>
      </c>
      <c r="G35" s="19" t="inlineStr">
        <is>
          <t>—</t>
        </is>
      </c>
      <c r="H35" s="19" t="inlineStr">
        <is>
          <t>Layout fits the screen; dialogs usable; no sideways scrolling.</t>
        </is>
      </c>
      <c r="I35" s="15" t="inlineStr">
        <is>
          <t>Medium</t>
        </is>
      </c>
      <c r="J35" s="15" t="inlineStr">
        <is>
          <t>Usability</t>
        </is>
      </c>
      <c r="K35" s="15" t="inlineStr">
        <is>
          <t>—</t>
        </is>
      </c>
      <c r="L35" s="15" t="inlineStr">
        <is>
          <t>Manual only</t>
        </is>
      </c>
      <c r="M35" s="20" t="inlineStr">
        <is>
          <t>Not run</t>
        </is>
      </c>
      <c r="N35" s="20" t="inlineStr"/>
      <c r="O35" s="20" t="inlineStr"/>
      <c r="P35" s="21" t="inlineStr"/>
      <c r="Q35" s="20" t="inlineStr"/>
    </row>
    <row r="36">
      <c r="A36" s="17" t="inlineStr">
        <is>
          <t>TC-LV-01</t>
        </is>
      </c>
      <c r="B36" s="15" t="inlineStr">
        <is>
          <t>Leave</t>
        </is>
      </c>
      <c r="C36" s="19" t="inlineStr">
        <is>
          <t>Apply for annual leave</t>
        </is>
      </c>
      <c r="D36" s="15" t="inlineStr">
        <is>
          <t>Employee</t>
        </is>
      </c>
      <c r="E36" s="19" t="inlineStr">
        <is>
          <t>Employee has an Annual Leave allocation and a leave approver.</t>
        </is>
      </c>
      <c r="F36" s="19" t="inlineStr">
        <is>
          <t>1. Request Leave -&gt; New Request.
2. Annual Leave, 2 days, reason.
3. Send.</t>
        </is>
      </c>
      <c r="G36" s="19" t="inlineStr">
        <is>
          <t>2 days</t>
        </is>
      </c>
      <c r="H36" s="19" t="inlineStr">
        <is>
          <t>Leave Application with status Open; approver set automatically.</t>
        </is>
      </c>
      <c r="I36" s="15" t="inlineStr">
        <is>
          <t>Critical</t>
        </is>
      </c>
      <c r="J36" s="15" t="inlineStr">
        <is>
          <t>Functional</t>
        </is>
      </c>
      <c r="K36" s="15" t="inlineStr">
        <is>
          <t>ESS-14</t>
        </is>
      </c>
      <c r="L36" s="15" t="inlineStr">
        <is>
          <t>Pass</t>
        </is>
      </c>
      <c r="M36" s="20" t="inlineStr">
        <is>
          <t>Not run</t>
        </is>
      </c>
      <c r="N36" s="20" t="inlineStr"/>
      <c r="O36" s="20" t="inlineStr"/>
      <c r="P36" s="21" t="inlineStr"/>
      <c r="Q36" s="20" t="inlineStr"/>
    </row>
    <row r="37">
      <c r="A37" s="17" t="inlineStr">
        <is>
          <t>TC-LV-02</t>
        </is>
      </c>
      <c r="B37" s="15" t="inlineStr">
        <is>
          <t>Leave</t>
        </is>
      </c>
      <c r="C37" s="19" t="inlineStr">
        <is>
          <t>Approver approves and submits</t>
        </is>
      </c>
      <c r="D37" s="15" t="inlineStr">
        <is>
          <t>HR Manager</t>
        </is>
      </c>
      <c r="E37" s="19" t="inlineStr">
        <is>
          <t>TC-LV-01 done; logged in as the leave approver.</t>
        </is>
      </c>
      <c r="F37" s="19" t="inlineStr">
        <is>
          <t>1. Open the Leave Application.
2. Status = Approved, Save.
3. Submit, confirm.</t>
        </is>
      </c>
      <c r="G37" s="19" t="inlineStr">
        <is>
          <t>—</t>
        </is>
      </c>
      <c r="H37" s="19" t="inlineStr">
        <is>
          <t>Submitted; status Approved.</t>
        </is>
      </c>
      <c r="I37" s="15" t="inlineStr">
        <is>
          <t>Critical</t>
        </is>
      </c>
      <c r="J37" s="15" t="inlineStr">
        <is>
          <t>Functional</t>
        </is>
      </c>
      <c r="K37" s="15" t="inlineStr">
        <is>
          <t>APR-04</t>
        </is>
      </c>
      <c r="L37" s="15" t="inlineStr">
        <is>
          <t>Pass</t>
        </is>
      </c>
      <c r="M37" s="20" t="inlineStr">
        <is>
          <t>Not run</t>
        </is>
      </c>
      <c r="N37" s="20" t="inlineStr"/>
      <c r="O37" s="20" t="inlineStr"/>
      <c r="P37" s="21" t="inlineStr"/>
      <c r="Q37" s="20" t="inlineStr"/>
    </row>
    <row r="38">
      <c r="A38" s="17" t="inlineStr">
        <is>
          <t>TC-LV-03</t>
        </is>
      </c>
      <c r="B38" s="15" t="inlineStr">
        <is>
          <t>Leave</t>
        </is>
      </c>
      <c r="C38" s="19" t="inlineStr">
        <is>
          <t>Balance goes down</t>
        </is>
      </c>
      <c r="D38" s="15" t="inlineStr">
        <is>
          <t>Employee</t>
        </is>
      </c>
      <c r="E38" s="19" t="inlineStr">
        <is>
          <t>TC-LV-02 done.</t>
        </is>
      </c>
      <c r="F38" s="19" t="inlineStr">
        <is>
          <t>Open the Employee Dashboard.</t>
        </is>
      </c>
      <c r="G38" s="19" t="inlineStr">
        <is>
          <t>—</t>
        </is>
      </c>
      <c r="H38" s="19" t="inlineStr">
        <is>
          <t>Annual Leave balance reduced by the approved days (e.g. 21 -&gt; 19).</t>
        </is>
      </c>
      <c r="I38" s="15" t="inlineStr">
        <is>
          <t>Critical</t>
        </is>
      </c>
      <c r="J38" s="15" t="inlineStr">
        <is>
          <t>Functional</t>
        </is>
      </c>
      <c r="K38" s="15" t="inlineStr">
        <is>
          <t>APR-05</t>
        </is>
      </c>
      <c r="L38" s="15" t="inlineStr">
        <is>
          <t>Pass</t>
        </is>
      </c>
      <c r="M38" s="20" t="inlineStr">
        <is>
          <t>Not run</t>
        </is>
      </c>
      <c r="N38" s="20" t="inlineStr"/>
      <c r="O38" s="20" t="inlineStr"/>
      <c r="P38" s="21" t="inlineStr"/>
      <c r="Q38" s="20" t="inlineStr"/>
    </row>
    <row r="39">
      <c r="A39" s="17" t="inlineStr">
        <is>
          <t>TC-LV-04</t>
        </is>
      </c>
      <c r="B39" s="15" t="inlineStr">
        <is>
          <t>Leave</t>
        </is>
      </c>
      <c r="C39" s="19" t="inlineStr">
        <is>
          <t>Approver rejects a leave</t>
        </is>
      </c>
      <c r="D39" s="15" t="inlineStr">
        <is>
          <t>HR Manager</t>
        </is>
      </c>
      <c r="E39" s="19" t="inlineStr">
        <is>
          <t>A new Open leave.</t>
        </is>
      </c>
      <c r="F39" s="19" t="inlineStr">
        <is>
          <t>Status = Rejected, Save, Submit.</t>
        </is>
      </c>
      <c r="G39" s="19" t="inlineStr">
        <is>
          <t>—</t>
        </is>
      </c>
      <c r="H39" s="19" t="inlineStr">
        <is>
          <t>Status Rejected; balance unchanged.</t>
        </is>
      </c>
      <c r="I39" s="15" t="inlineStr">
        <is>
          <t>High</t>
        </is>
      </c>
      <c r="J39" s="15" t="inlineStr">
        <is>
          <t>Functional</t>
        </is>
      </c>
      <c r="K39" s="15" t="inlineStr">
        <is>
          <t>—</t>
        </is>
      </c>
      <c r="L39" s="15" t="inlineStr">
        <is>
          <t>Manual only</t>
        </is>
      </c>
      <c r="M39" s="20" t="inlineStr">
        <is>
          <t>Not run</t>
        </is>
      </c>
      <c r="N39" s="20" t="inlineStr"/>
      <c r="O39" s="20" t="inlineStr"/>
      <c r="P39" s="21" t="inlineStr"/>
      <c r="Q39" s="20" t="inlineStr"/>
    </row>
    <row r="40">
      <c r="A40" s="17" t="inlineStr">
        <is>
          <t>TC-LV-05</t>
        </is>
      </c>
      <c r="B40" s="15" t="inlineStr">
        <is>
          <t>Leave</t>
        </is>
      </c>
      <c r="C40" s="19" t="inlineStr">
        <is>
          <t>Employee cannot approve their own leave</t>
        </is>
      </c>
      <c r="D40" s="15" t="inlineStr">
        <is>
          <t>Employee</t>
        </is>
      </c>
      <c r="E40" s="19" t="inlineStr">
        <is>
          <t>Own Open leave.</t>
        </is>
      </c>
      <c r="F40" s="19" t="inlineStr">
        <is>
          <t>Try to change the status or submit from the form (or ask a developer to try through the API).</t>
        </is>
      </c>
      <c r="G40" s="19" t="inlineStr">
        <is>
          <t>—</t>
        </is>
      </c>
      <c r="H40" s="19" t="inlineStr">
        <is>
          <t>Not allowed; leave stays Open.</t>
        </is>
      </c>
      <c r="I40" s="15" t="inlineStr">
        <is>
          <t>Critical</t>
        </is>
      </c>
      <c r="J40" s="15" t="inlineStr">
        <is>
          <t>Security</t>
        </is>
      </c>
      <c r="K40" s="15" t="inlineStr">
        <is>
          <t>SEC-08</t>
        </is>
      </c>
      <c r="L40" s="15" t="inlineStr">
        <is>
          <t>Pass</t>
        </is>
      </c>
      <c r="M40" s="20" t="inlineStr">
        <is>
          <t>Not run</t>
        </is>
      </c>
      <c r="N40" s="20" t="inlineStr"/>
      <c r="O40" s="20" t="inlineStr"/>
      <c r="P40" s="21" t="inlineStr"/>
      <c r="Q40" s="20" t="inlineStr"/>
    </row>
    <row r="41">
      <c r="A41" s="17" t="inlineStr">
        <is>
          <t>TC-LV-06</t>
        </is>
      </c>
      <c r="B41" s="15" t="inlineStr">
        <is>
          <t>Leave</t>
        </is>
      </c>
      <c r="C41" s="19" t="inlineStr">
        <is>
          <t>Half-day monthly limit</t>
        </is>
      </c>
      <c r="D41" s="15" t="inlineStr">
        <is>
          <t>Employee</t>
        </is>
      </c>
      <c r="E41" s="19" t="inlineStr">
        <is>
          <t>HR enabled the half-day limit in HR Settings.</t>
        </is>
      </c>
      <c r="F41" s="19" t="inlineStr">
        <is>
          <t>Request more half days in one month than the limit.</t>
        </is>
      </c>
      <c r="G41" s="19" t="inlineStr">
        <is>
          <t>Limit + 1</t>
        </is>
      </c>
      <c r="H41" s="19" t="inlineStr">
        <is>
          <t>The extra request is refused with a message about the monthly limit.</t>
        </is>
      </c>
      <c r="I41" s="15" t="inlineStr">
        <is>
          <t>Medium</t>
        </is>
      </c>
      <c r="J41" s="15" t="inlineStr">
        <is>
          <t>Negative</t>
        </is>
      </c>
      <c r="K41" s="15" t="inlineStr">
        <is>
          <t>unit tests</t>
        </is>
      </c>
      <c r="L41" s="15" t="inlineStr">
        <is>
          <t>Unit test</t>
        </is>
      </c>
      <c r="M41" s="20" t="inlineStr">
        <is>
          <t>Not run</t>
        </is>
      </c>
      <c r="N41" s="20" t="inlineStr"/>
      <c r="O41" s="20" t="inlineStr"/>
      <c r="P41" s="21" t="inlineStr"/>
      <c r="Q41" s="20" t="inlineStr"/>
    </row>
    <row r="42">
      <c r="A42" s="17" t="inlineStr">
        <is>
          <t>TC-LV-07</t>
        </is>
      </c>
      <c r="B42" s="15" t="inlineStr">
        <is>
          <t>Leave</t>
        </is>
      </c>
      <c r="C42" s="19" t="inlineStr">
        <is>
          <t>Medical (sick) leave stages</t>
        </is>
      </c>
      <c r="D42" s="15" t="inlineStr">
        <is>
          <t>HR Manager</t>
        </is>
      </c>
      <c r="E42" s="19" t="inlineStr">
        <is>
          <t>Medical leave year activated for an employee.</t>
        </is>
      </c>
      <c r="F42" s="19" t="inlineStr">
        <is>
          <t>Request sick leave across the full-pay / partial-pay boundary.</t>
        </is>
      </c>
      <c r="G42" s="19" t="inlineStr">
        <is>
          <t>—</t>
        </is>
      </c>
      <c r="H42" s="19" t="inlineStr">
        <is>
          <t>Refused with a message to split the request at the stage boundary.</t>
        </is>
      </c>
      <c r="I42" s="15" t="inlineStr">
        <is>
          <t>Medium</t>
        </is>
      </c>
      <c r="J42" s="15" t="inlineStr">
        <is>
          <t>Negative</t>
        </is>
      </c>
      <c r="K42" s="15" t="inlineStr">
        <is>
          <t>unit tests</t>
        </is>
      </c>
      <c r="L42" s="15" t="inlineStr">
        <is>
          <t>Unit test</t>
        </is>
      </c>
      <c r="M42" s="20" t="inlineStr">
        <is>
          <t>Not run</t>
        </is>
      </c>
      <c r="N42" s="20" t="inlineStr"/>
      <c r="O42" s="20" t="inlineStr"/>
      <c r="P42" s="21" t="inlineStr"/>
      <c r="Q42" s="20" t="inlineStr"/>
    </row>
    <row r="43">
      <c r="A43" s="17" t="inlineStr">
        <is>
          <t>TC-LV-08</t>
        </is>
      </c>
      <c r="B43" s="15" t="inlineStr">
        <is>
          <t>Leave</t>
        </is>
      </c>
      <c r="C43" s="19" t="inlineStr">
        <is>
          <t>Return from Leave</t>
        </is>
      </c>
      <c r="D43" s="15" t="inlineStr">
        <is>
          <t>Employee</t>
        </is>
      </c>
      <c r="E43" s="19" t="inlineStr">
        <is>
          <t>An approved leave.</t>
        </is>
      </c>
      <c r="F43" s="19" t="inlineStr">
        <is>
          <t>Return from Leave -&gt; pick the approved leave -&gt; return date -&gt; Send.</t>
        </is>
      </c>
      <c r="G43" s="19" t="inlineStr">
        <is>
          <t>—</t>
        </is>
      </c>
      <c r="H43" s="19" t="inlineStr">
        <is>
          <t>Status Pending HR Review; only own leaves are offered.</t>
        </is>
      </c>
      <c r="I43" s="15" t="inlineStr">
        <is>
          <t>High</t>
        </is>
      </c>
      <c r="J43" s="15" t="inlineStr">
        <is>
          <t>Functional</t>
        </is>
      </c>
      <c r="K43" s="15" t="inlineStr">
        <is>
          <t>APR-06</t>
        </is>
      </c>
      <c r="L43" s="15" t="inlineStr">
        <is>
          <t>Pass</t>
        </is>
      </c>
      <c r="M43" s="20" t="inlineStr">
        <is>
          <t>Not run</t>
        </is>
      </c>
      <c r="N43" s="20" t="inlineStr"/>
      <c r="O43" s="20" t="inlineStr"/>
      <c r="P43" s="21" t="inlineStr"/>
      <c r="Q43" s="20" t="inlineStr"/>
    </row>
    <row r="44">
      <c r="A44" s="17" t="inlineStr">
        <is>
          <t>TC-APR-01</t>
        </is>
      </c>
      <c r="B44" s="15" t="inlineStr">
        <is>
          <t>HR approvals</t>
        </is>
      </c>
      <c r="C44" s="19" t="inlineStr">
        <is>
          <t>Approve a Permission Request</t>
        </is>
      </c>
      <c r="D44" s="15" t="inlineStr">
        <is>
          <t>HR Manager</t>
        </is>
      </c>
      <c r="E44" s="19" t="inlineStr">
        <is>
          <t>A Pending request.</t>
        </is>
      </c>
      <c r="F44" s="19" t="inlineStr">
        <is>
          <t>Open it, Status = Approved, Save.</t>
        </is>
      </c>
      <c r="G44" s="19" t="inlineStr">
        <is>
          <t>—</t>
        </is>
      </c>
      <c r="H44" s="19" t="inlineStr">
        <is>
          <t>Saved; the employee sees Approved.</t>
        </is>
      </c>
      <c r="I44" s="15" t="inlineStr">
        <is>
          <t>High</t>
        </is>
      </c>
      <c r="J44" s="15" t="inlineStr">
        <is>
          <t>Functional</t>
        </is>
      </c>
      <c r="K44" s="15" t="inlineStr">
        <is>
          <t>APR-01</t>
        </is>
      </c>
      <c r="L44" s="15" t="inlineStr">
        <is>
          <t>Pass</t>
        </is>
      </c>
      <c r="M44" s="20" t="inlineStr">
        <is>
          <t>Not run</t>
        </is>
      </c>
      <c r="N44" s="20" t="inlineStr"/>
      <c r="O44" s="20" t="inlineStr"/>
      <c r="P44" s="21" t="inlineStr"/>
      <c r="Q44" s="20" t="inlineStr"/>
    </row>
    <row r="45">
      <c r="A45" s="17" t="inlineStr">
        <is>
          <t>TC-APR-02</t>
        </is>
      </c>
      <c r="B45" s="15" t="inlineStr">
        <is>
          <t>HR approvals</t>
        </is>
      </c>
      <c r="C45" s="19" t="inlineStr">
        <is>
          <t>Reject a Training Request</t>
        </is>
      </c>
      <c r="D45" s="15" t="inlineStr">
        <is>
          <t>HR Manager</t>
        </is>
      </c>
      <c r="E45" s="19" t="inlineStr">
        <is>
          <t>A Pending request.</t>
        </is>
      </c>
      <c r="F45" s="19" t="inlineStr">
        <is>
          <t>Status = Rejected, Save.</t>
        </is>
      </c>
      <c r="G45" s="19" t="inlineStr">
        <is>
          <t>—</t>
        </is>
      </c>
      <c r="H45" s="19" t="inlineStr">
        <is>
          <t>Saved as Rejected.</t>
        </is>
      </c>
      <c r="I45" s="15" t="inlineStr">
        <is>
          <t>High</t>
        </is>
      </c>
      <c r="J45" s="15" t="inlineStr">
        <is>
          <t>Functional</t>
        </is>
      </c>
      <c r="K45" s="15" t="inlineStr">
        <is>
          <t>APR-02</t>
        </is>
      </c>
      <c r="L45" s="15" t="inlineStr">
        <is>
          <t>Pass</t>
        </is>
      </c>
      <c r="M45" s="20" t="inlineStr">
        <is>
          <t>Not run</t>
        </is>
      </c>
      <c r="N45" s="20" t="inlineStr"/>
      <c r="O45" s="20" t="inlineStr"/>
      <c r="P45" s="21" t="inlineStr"/>
      <c r="Q45" s="20" t="inlineStr"/>
    </row>
    <row r="46">
      <c r="A46" s="17" t="inlineStr">
        <is>
          <t>TC-APR-03</t>
        </is>
      </c>
      <c r="B46" s="15" t="inlineStr">
        <is>
          <t>HR approvals</t>
        </is>
      </c>
      <c r="C46" s="19" t="inlineStr">
        <is>
          <t>Issue a Salary Certificate</t>
        </is>
      </c>
      <c r="D46" s="15" t="inlineStr">
        <is>
          <t>HR Manager</t>
        </is>
      </c>
      <c r="E46" s="19" t="inlineStr">
        <is>
          <t>A Pending request.</t>
        </is>
      </c>
      <c r="F46" s="19" t="inlineStr">
        <is>
          <t>Status = Issued, Save.</t>
        </is>
      </c>
      <c r="G46" s="19" t="inlineStr">
        <is>
          <t>—</t>
        </is>
      </c>
      <c r="H46" s="19" t="inlineStr">
        <is>
          <t>Saved as Issued.</t>
        </is>
      </c>
      <c r="I46" s="15" t="inlineStr">
        <is>
          <t>Medium</t>
        </is>
      </c>
      <c r="J46" s="15" t="inlineStr">
        <is>
          <t>Functional</t>
        </is>
      </c>
      <c r="K46" s="15" t="inlineStr">
        <is>
          <t>APR-03</t>
        </is>
      </c>
      <c r="L46" s="15" t="inlineStr">
        <is>
          <t>Pass</t>
        </is>
      </c>
      <c r="M46" s="20" t="inlineStr">
        <is>
          <t>Not run</t>
        </is>
      </c>
      <c r="N46" s="20" t="inlineStr"/>
      <c r="O46" s="20" t="inlineStr"/>
      <c r="P46" s="21" t="inlineStr"/>
      <c r="Q46" s="20" t="inlineStr"/>
    </row>
    <row r="47">
      <c r="A47" s="17" t="inlineStr">
        <is>
          <t>TC-APR-04</t>
        </is>
      </c>
      <c r="B47" s="15" t="inlineStr">
        <is>
          <t>HR approvals</t>
        </is>
      </c>
      <c r="C47" s="19" t="inlineStr">
        <is>
          <t>HR User sees all employees' requests</t>
        </is>
      </c>
      <c r="D47" s="15" t="inlineStr">
        <is>
          <t>HR User</t>
        </is>
      </c>
      <c r="E47" s="19" t="inlineStr">
        <is>
          <t>Requests from two employees.</t>
        </is>
      </c>
      <c r="F47" s="19" t="inlineStr">
        <is>
          <t>Open each request list.</t>
        </is>
      </c>
      <c r="G47" s="19" t="inlineStr">
        <is>
          <t>—</t>
        </is>
      </c>
      <c r="H47" s="19" t="inlineStr">
        <is>
          <t>Requests of all employees are listed, including Leave Return Request.</t>
        </is>
      </c>
      <c r="I47" s="15" t="inlineStr">
        <is>
          <t>High</t>
        </is>
      </c>
      <c r="J47" s="15" t="inlineStr">
        <is>
          <t>Functional</t>
        </is>
      </c>
      <c r="K47" s="15" t="inlineStr">
        <is>
          <t>APR-07</t>
        </is>
      </c>
      <c r="L47" s="15" t="inlineStr">
        <is>
          <t>Pass</t>
        </is>
      </c>
      <c r="M47" s="20" t="inlineStr">
        <is>
          <t>Not run</t>
        </is>
      </c>
      <c r="N47" s="20" t="inlineStr"/>
      <c r="O47" s="20" t="inlineStr"/>
      <c r="P47" s="21" t="inlineStr"/>
      <c r="Q47" s="20" t="inlineStr"/>
    </row>
    <row r="48">
      <c r="A48" s="17" t="inlineStr">
        <is>
          <t>TC-APR-05</t>
        </is>
      </c>
      <c r="B48" s="15" t="inlineStr">
        <is>
          <t>HR approvals</t>
        </is>
      </c>
      <c r="C48" s="19" t="inlineStr">
        <is>
          <t>Finance step on money requests</t>
        </is>
      </c>
      <c r="D48" s="15" t="inlineStr">
        <is>
          <t>Finance Manager</t>
        </is>
      </c>
      <c r="E48" s="19" t="inlineStr">
        <is>
          <t>A Training / Car / Allowance request at the finance step.</t>
        </is>
      </c>
      <c r="F48" s="19" t="inlineStr">
        <is>
          <t>Open and approve.</t>
        </is>
      </c>
      <c r="G48" s="19" t="inlineStr">
        <is>
          <t>—</t>
        </is>
      </c>
      <c r="H48" s="19" t="inlineStr">
        <is>
          <t>Finance Manager can approve; HR cannot skip the finance step.</t>
        </is>
      </c>
      <c r="I48" s="15" t="inlineStr">
        <is>
          <t>High</t>
        </is>
      </c>
      <c r="J48" s="15" t="inlineStr">
        <is>
          <t>Functional</t>
        </is>
      </c>
      <c r="K48" s="15" t="inlineStr">
        <is>
          <t>—</t>
        </is>
      </c>
      <c r="L48" s="15" t="inlineStr">
        <is>
          <t>Manual only</t>
        </is>
      </c>
      <c r="M48" s="20" t="inlineStr">
        <is>
          <t>Not run</t>
        </is>
      </c>
      <c r="N48" s="20" t="inlineStr"/>
      <c r="O48" s="20" t="inlineStr"/>
      <c r="P48" s="21" t="inlineStr"/>
      <c r="Q48" s="20" t="inlineStr"/>
    </row>
    <row r="49">
      <c r="A49" s="17" t="inlineStr">
        <is>
          <t>TC-APR-06</t>
        </is>
      </c>
      <c r="B49" s="15" t="inlineStr">
        <is>
          <t>HR approvals</t>
        </is>
      </c>
      <c r="C49" s="19" t="inlineStr">
        <is>
          <t>Travel Request</t>
        </is>
      </c>
      <c r="D49" s="15" t="inlineStr">
        <is>
          <t>HR Manager</t>
        </is>
      </c>
      <c r="E49" s="19" t="inlineStr">
        <is>
          <t>—</t>
        </is>
      </c>
      <c r="F49" s="19" t="inlineStr">
        <is>
          <t>Create a Travel Request with costings; save; submit.</t>
        </is>
      </c>
      <c r="G49" s="19" t="inlineStr">
        <is>
          <t>Costs</t>
        </is>
      </c>
      <c r="H49" s="19" t="inlineStr">
        <is>
          <t>Saves and submits without error.</t>
        </is>
      </c>
      <c r="I49" s="15" t="inlineStr">
        <is>
          <t>Medium</t>
        </is>
      </c>
      <c r="J49" s="15" t="inlineStr">
        <is>
          <t>Regression</t>
        </is>
      </c>
      <c r="K49" s="15" t="inlineStr">
        <is>
          <t>HRD-03</t>
        </is>
      </c>
      <c r="L49" s="15" t="inlineStr">
        <is>
          <t>Pass</t>
        </is>
      </c>
      <c r="M49" s="20" t="inlineStr">
        <is>
          <t>Not run</t>
        </is>
      </c>
      <c r="N49" s="20" t="inlineStr"/>
      <c r="O49" s="20" t="inlineStr"/>
      <c r="P49" s="21" t="inlineStr"/>
      <c r="Q49" s="20" t="inlineStr"/>
    </row>
    <row r="50">
      <c r="A50" s="17" t="inlineStr">
        <is>
          <t>TC-APR-07</t>
        </is>
      </c>
      <c r="B50" s="15" t="inlineStr">
        <is>
          <t>HR approvals</t>
        </is>
      </c>
      <c r="C50" s="19" t="inlineStr">
        <is>
          <t>HR opens a new Expense Claim</t>
        </is>
      </c>
      <c r="D50" s="15" t="inlineStr">
        <is>
          <t>HR Manager</t>
        </is>
      </c>
      <c r="E50" s="19" t="inlineStr">
        <is>
          <t>HR account (also try the HR User account).</t>
        </is>
      </c>
      <c r="F50" s="19" t="inlineStr">
        <is>
          <t>Open Expense Claim -&gt; + Add.</t>
        </is>
      </c>
      <c r="G50" s="19" t="inlineStr">
        <is>
          <t>—</t>
        </is>
      </c>
      <c r="H50" s="19" t="inlineStr">
        <is>
          <t>Form opens with the cost center filled; NO 'You do not have Read or Select Permissions for Cost Center' pop-up.</t>
        </is>
      </c>
      <c r="I50" s="15" t="inlineStr">
        <is>
          <t>High</t>
        </is>
      </c>
      <c r="J50" s="15" t="inlineStr">
        <is>
          <t>Regression</t>
        </is>
      </c>
      <c r="K50" s="15" t="inlineStr">
        <is>
          <t>SWP-01/02</t>
        </is>
      </c>
      <c r="L50" s="15" t="inlineStr">
        <is>
          <t>Pass</t>
        </is>
      </c>
      <c r="M50" s="20" t="inlineStr">
        <is>
          <t>Not run</t>
        </is>
      </c>
      <c r="N50" s="20" t="inlineStr"/>
      <c r="O50" s="20" t="inlineStr"/>
      <c r="P50" s="21" t="inlineStr"/>
      <c r="Q50" s="20" t="inlineStr"/>
    </row>
    <row r="51">
      <c r="A51" s="17" t="inlineStr">
        <is>
          <t>TC-APR-08</t>
        </is>
      </c>
      <c r="B51" s="15" t="inlineStr">
        <is>
          <t>HR approvals</t>
        </is>
      </c>
      <c r="C51" s="19" t="inlineStr">
        <is>
          <t>HR User opens the Holiday List</t>
        </is>
      </c>
      <c r="D51" s="15" t="inlineStr">
        <is>
          <t>HR User</t>
        </is>
      </c>
      <c r="E51" s="19" t="inlineStr">
        <is>
          <t>HR User account.</t>
        </is>
      </c>
      <c r="F51" s="19" t="inlineStr">
        <is>
          <t>1. Open /app/holiday-list.
2. Open a holiday list.</t>
        </is>
      </c>
      <c r="G51" s="19" t="inlineStr">
        <is>
          <t>—</t>
        </is>
      </c>
      <c r="H51" s="19" t="inlineStr">
        <is>
          <t>List and record open read-only; no 'Not permitted'.</t>
        </is>
      </c>
      <c r="I51" s="15" t="inlineStr">
        <is>
          <t>Medium</t>
        </is>
      </c>
      <c r="J51" s="15" t="inlineStr">
        <is>
          <t>Regression</t>
        </is>
      </c>
      <c r="K51" s="15" t="inlineStr">
        <is>
          <t>SWP-02</t>
        </is>
      </c>
      <c r="L51" s="15" t="inlineStr">
        <is>
          <t>Pass</t>
        </is>
      </c>
      <c r="M51" s="20" t="inlineStr">
        <is>
          <t>Not run</t>
        </is>
      </c>
      <c r="N51" s="20" t="inlineStr"/>
      <c r="O51" s="20" t="inlineStr"/>
      <c r="P51" s="21" t="inlineStr"/>
      <c r="Q51" s="20" t="inlineStr"/>
    </row>
    <row r="52">
      <c r="A52" s="17" t="inlineStr">
        <is>
          <t>TC-SEC-01</t>
        </is>
      </c>
      <c r="B52" s="15" t="inlineStr">
        <is>
          <t>Security &amp; privacy</t>
        </is>
      </c>
      <c r="C52" s="19" t="inlineStr">
        <is>
          <t>Employees see only their own requests</t>
        </is>
      </c>
      <c r="D52" s="15" t="inlineStr">
        <is>
          <t>Employee</t>
        </is>
      </c>
      <c r="E52" s="19" t="inlineStr">
        <is>
          <t>Two employees each sent a request.</t>
        </is>
      </c>
      <c r="F52" s="19" t="inlineStr">
        <is>
          <t>Employee 1 opens each request list.</t>
        </is>
      </c>
      <c r="G52" s="19" t="inlineStr">
        <is>
          <t>—</t>
        </is>
      </c>
      <c r="H52" s="19" t="inlineStr">
        <is>
          <t>Only their own requests appear.</t>
        </is>
      </c>
      <c r="I52" s="15" t="inlineStr">
        <is>
          <t>Critical</t>
        </is>
      </c>
      <c r="J52" s="15" t="inlineStr">
        <is>
          <t>Security</t>
        </is>
      </c>
      <c r="K52" s="15" t="inlineStr">
        <is>
          <t>SEC-01</t>
        </is>
      </c>
      <c r="L52" s="15" t="inlineStr">
        <is>
          <t>Pass</t>
        </is>
      </c>
      <c r="M52" s="20" t="inlineStr">
        <is>
          <t>Not run</t>
        </is>
      </c>
      <c r="N52" s="20" t="inlineStr"/>
      <c r="O52" s="20" t="inlineStr"/>
      <c r="P52" s="21" t="inlineStr"/>
      <c r="Q52" s="20" t="inlineStr"/>
    </row>
    <row r="53">
      <c r="A53" s="17" t="inlineStr">
        <is>
          <t>TC-SEC-02</t>
        </is>
      </c>
      <c r="B53" s="15" t="inlineStr">
        <is>
          <t>Security &amp; privacy</t>
        </is>
      </c>
      <c r="C53" s="19" t="inlineStr">
        <is>
          <t>Another employee's request URL</t>
        </is>
      </c>
      <c r="D53" s="15" t="inlineStr">
        <is>
          <t>Employee</t>
        </is>
      </c>
      <c r="E53" s="19" t="inlineStr">
        <is>
          <t>URL of employee 2's request.</t>
        </is>
      </c>
      <c r="F53" s="19" t="inlineStr">
        <is>
          <t>Employee 1 opens that URL.</t>
        </is>
      </c>
      <c r="G53" s="19" t="inlineStr">
        <is>
          <t>Employee 2 request link</t>
        </is>
      </c>
      <c r="H53" s="19" t="inlineStr">
        <is>
          <t>Not permitted; none of its details are shown.</t>
        </is>
      </c>
      <c r="I53" s="15" t="inlineStr">
        <is>
          <t>Critical</t>
        </is>
      </c>
      <c r="J53" s="15" t="inlineStr">
        <is>
          <t>Security</t>
        </is>
      </c>
      <c r="K53" s="15" t="inlineStr">
        <is>
          <t>SEC-02</t>
        </is>
      </c>
      <c r="L53" s="15" t="inlineStr">
        <is>
          <t>Pass</t>
        </is>
      </c>
      <c r="M53" s="20" t="inlineStr">
        <is>
          <t>Not run</t>
        </is>
      </c>
      <c r="N53" s="20" t="inlineStr"/>
      <c r="O53" s="20" t="inlineStr"/>
      <c r="P53" s="21" t="inlineStr"/>
      <c r="Q53" s="20" t="inlineStr"/>
    </row>
    <row r="54">
      <c r="A54" s="17" t="inlineStr">
        <is>
          <t>TC-SEC-03</t>
        </is>
      </c>
      <c r="B54" s="15" t="inlineStr">
        <is>
          <t>Security &amp; privacy</t>
        </is>
      </c>
      <c r="C54" s="19" t="inlineStr">
        <is>
          <t>Own Employee record only, read-only</t>
        </is>
      </c>
      <c r="D54" s="15" t="inlineStr">
        <is>
          <t>Employee</t>
        </is>
      </c>
      <c r="E54" s="19" t="inlineStr">
        <is>
          <t>—</t>
        </is>
      </c>
      <c r="F54" s="19" t="inlineStr">
        <is>
          <t>1. Open /app/employee.
2. Try to edit own record.</t>
        </is>
      </c>
      <c r="G54" s="19" t="inlineStr">
        <is>
          <t>—</t>
        </is>
      </c>
      <c r="H54" s="19" t="inlineStr">
        <is>
          <t>Only own record listed; cannot edit.</t>
        </is>
      </c>
      <c r="I54" s="15" t="inlineStr">
        <is>
          <t>High</t>
        </is>
      </c>
      <c r="J54" s="15" t="inlineStr">
        <is>
          <t>Security</t>
        </is>
      </c>
      <c r="K54" s="15" t="inlineStr">
        <is>
          <t>SEC-03/04</t>
        </is>
      </c>
      <c r="L54" s="15" t="inlineStr">
        <is>
          <t>Pass</t>
        </is>
      </c>
      <c r="M54" s="20" t="inlineStr">
        <is>
          <t>Not run</t>
        </is>
      </c>
      <c r="N54" s="20" t="inlineStr"/>
      <c r="O54" s="20" t="inlineStr"/>
      <c r="P54" s="21" t="inlineStr"/>
      <c r="Q54" s="20" t="inlineStr"/>
    </row>
    <row r="55">
      <c r="A55" s="17" t="inlineStr">
        <is>
          <t>TC-SEC-04</t>
        </is>
      </c>
      <c r="B55" s="15" t="inlineStr">
        <is>
          <t>Security &amp; privacy</t>
        </is>
      </c>
      <c r="C55" s="19" t="inlineStr">
        <is>
          <t>HR-only processes</t>
        </is>
      </c>
      <c r="D55" s="15" t="inlineStr">
        <is>
          <t>Employee</t>
        </is>
      </c>
      <c r="E55" s="19" t="inlineStr">
        <is>
          <t>—</t>
        </is>
      </c>
      <c r="F55" s="19" t="inlineStr">
        <is>
          <t>Try to create a Contract Renewal or Leave Plan request.</t>
        </is>
      </c>
      <c r="G55" s="19" t="inlineStr">
        <is>
          <t>—</t>
        </is>
      </c>
      <c r="H55" s="19" t="inlineStr">
        <is>
          <t>Refused.</t>
        </is>
      </c>
      <c r="I55" s="15" t="inlineStr">
        <is>
          <t>High</t>
        </is>
      </c>
      <c r="J55" s="15" t="inlineStr">
        <is>
          <t>Security</t>
        </is>
      </c>
      <c r="K55" s="15" t="inlineStr">
        <is>
          <t>SEC-07</t>
        </is>
      </c>
      <c r="L55" s="15" t="inlineStr">
        <is>
          <t>Pass</t>
        </is>
      </c>
      <c r="M55" s="20" t="inlineStr">
        <is>
          <t>Not run</t>
        </is>
      </c>
      <c r="N55" s="20" t="inlineStr"/>
      <c r="O55" s="20" t="inlineStr"/>
      <c r="P55" s="21" t="inlineStr"/>
      <c r="Q55" s="20" t="inlineStr"/>
    </row>
    <row r="56">
      <c r="A56" s="17" t="inlineStr">
        <is>
          <t>TC-SEC-05</t>
        </is>
      </c>
      <c r="B56" s="15" t="inlineStr">
        <is>
          <t>Security &amp; privacy</t>
        </is>
      </c>
      <c r="C56" s="19" t="inlineStr">
        <is>
          <t>Employee cannot open HR pages</t>
        </is>
      </c>
      <c r="D56" s="15" t="inlineStr">
        <is>
          <t>Employee</t>
        </is>
      </c>
      <c r="E56" s="19" t="inlineStr">
        <is>
          <t>—</t>
        </is>
      </c>
      <c r="F56" s="19" t="inlineStr">
        <is>
          <t>Open /app/hr-dashboard, /app/hr-academic-presence/faculty and /app/jameah-data-check.</t>
        </is>
      </c>
      <c r="G56" s="19" t="inlineStr">
        <is>
          <t>—</t>
        </is>
      </c>
      <c r="H56" s="19" t="inlineStr">
        <is>
          <t>'Not authorized' or 'Not permitted'; no HR data.</t>
        </is>
      </c>
      <c r="I56" s="15" t="inlineStr">
        <is>
          <t>Critical</t>
        </is>
      </c>
      <c r="J56" s="15" t="inlineStr">
        <is>
          <t>Security</t>
        </is>
      </c>
      <c r="K56" s="15" t="inlineStr">
        <is>
          <t>SEC-09</t>
        </is>
      </c>
      <c r="L56" s="15" t="inlineStr">
        <is>
          <t>Pass</t>
        </is>
      </c>
      <c r="M56" s="20" t="inlineStr">
        <is>
          <t>Not run</t>
        </is>
      </c>
      <c r="N56" s="20" t="inlineStr"/>
      <c r="O56" s="20" t="inlineStr"/>
      <c r="P56" s="21" t="inlineStr"/>
      <c r="Q56" s="20" t="inlineStr"/>
    </row>
    <row r="57">
      <c r="A57" s="17" t="inlineStr">
        <is>
          <t>TC-SEC-06</t>
        </is>
      </c>
      <c r="B57" s="15" t="inlineStr">
        <is>
          <t>Security &amp; privacy</t>
        </is>
      </c>
      <c r="C57" s="19" t="inlineStr">
        <is>
          <t>Login without an Employee record</t>
        </is>
      </c>
      <c r="D57" s="15" t="inlineStr">
        <is>
          <t>User with no Employee record</t>
        </is>
      </c>
      <c r="E57" s="19" t="inlineStr">
        <is>
          <t>—</t>
        </is>
      </c>
      <c r="F57" s="19" t="inlineStr">
        <is>
          <t>Log in and open the Employee Dashboard.</t>
        </is>
      </c>
      <c r="G57" s="19" t="inlineStr">
        <is>
          <t>—</t>
        </is>
      </c>
      <c r="H57" s="19" t="inlineStr">
        <is>
          <t>Not permitted / not linked message; cannot send requests.</t>
        </is>
      </c>
      <c r="I57" s="15" t="inlineStr">
        <is>
          <t>Medium</t>
        </is>
      </c>
      <c r="J57" s="15" t="inlineStr">
        <is>
          <t>Security</t>
        </is>
      </c>
      <c r="K57" s="15" t="inlineStr">
        <is>
          <t>SEC-11</t>
        </is>
      </c>
      <c r="L57" s="15" t="inlineStr">
        <is>
          <t>Pass</t>
        </is>
      </c>
      <c r="M57" s="20" t="inlineStr">
        <is>
          <t>Not run</t>
        </is>
      </c>
      <c r="N57" s="20" t="inlineStr"/>
      <c r="O57" s="20" t="inlineStr"/>
      <c r="P57" s="21" t="inlineStr"/>
      <c r="Q57" s="20" t="inlineStr"/>
    </row>
    <row r="58">
      <c r="A58" s="17" t="inlineStr">
        <is>
          <t>TC-SEC-07</t>
        </is>
      </c>
      <c r="B58" s="15" t="inlineStr">
        <is>
          <t>Security &amp; privacy</t>
        </is>
      </c>
      <c r="C58" s="19" t="inlineStr">
        <is>
          <t>Staff without HR/Employee roles</t>
        </is>
      </c>
      <c r="D58" s="15" t="inlineStr">
        <is>
          <t>Other staff</t>
        </is>
      </c>
      <c r="E58" s="19" t="inlineStr">
        <is>
          <t>—</t>
        </is>
      </c>
      <c r="F58" s="19" t="inlineStr">
        <is>
          <t>Open the HR and Employee dashboards.</t>
        </is>
      </c>
      <c r="G58" s="19" t="inlineStr">
        <is>
          <t>—</t>
        </is>
      </c>
      <c r="H58" s="19" t="inlineStr">
        <is>
          <t>Both refused.</t>
        </is>
      </c>
      <c r="I58" s="15" t="inlineStr">
        <is>
          <t>Medium</t>
        </is>
      </c>
      <c r="J58" s="15" t="inlineStr">
        <is>
          <t>Security</t>
        </is>
      </c>
      <c r="K58" s="15" t="inlineStr">
        <is>
          <t>SEC-12</t>
        </is>
      </c>
      <c r="L58" s="15" t="inlineStr">
        <is>
          <t>Pass</t>
        </is>
      </c>
      <c r="M58" s="20" t="inlineStr">
        <is>
          <t>Not run</t>
        </is>
      </c>
      <c r="N58" s="20" t="inlineStr"/>
      <c r="O58" s="20" t="inlineStr"/>
      <c r="P58" s="21" t="inlineStr"/>
      <c r="Q58" s="20" t="inlineStr"/>
    </row>
    <row r="59">
      <c r="A59" s="17" t="inlineStr">
        <is>
          <t>TC-SEC-08</t>
        </is>
      </c>
      <c r="B59" s="15" t="inlineStr">
        <is>
          <t>Security &amp; privacy</t>
        </is>
      </c>
      <c r="C59" s="19" t="inlineStr">
        <is>
          <t>Private attachments</t>
        </is>
      </c>
      <c r="D59" s="15" t="inlineStr">
        <is>
          <t>Second employee</t>
        </is>
      </c>
      <c r="E59" s="19" t="inlineStr">
        <is>
          <t>Employee 1 uploaded an invoice (TC-ESS-08).</t>
        </is>
      </c>
      <c r="F59" s="19" t="inlineStr">
        <is>
          <t>Employee 2 opens the file link.</t>
        </is>
      </c>
      <c r="G59" s="19" t="inlineStr">
        <is>
          <t>File URL</t>
        </is>
      </c>
      <c r="H59" s="19" t="inlineStr">
        <is>
          <t>Refused (403/404). HR can open it.</t>
        </is>
      </c>
      <c r="I59" s="15" t="inlineStr">
        <is>
          <t>Critical</t>
        </is>
      </c>
      <c r="J59" s="15" t="inlineStr">
        <is>
          <t>Security</t>
        </is>
      </c>
      <c r="K59" s="15" t="inlineStr">
        <is>
          <t>APR-08</t>
        </is>
      </c>
      <c r="L59" s="15" t="inlineStr">
        <is>
          <t>Pass</t>
        </is>
      </c>
      <c r="M59" s="20" t="inlineStr">
        <is>
          <t>Not run</t>
        </is>
      </c>
      <c r="N59" s="20" t="inlineStr"/>
      <c r="O59" s="20" t="inlineStr"/>
      <c r="P59" s="21" t="inlineStr"/>
      <c r="Q59" s="20" t="inlineStr"/>
    </row>
    <row r="60">
      <c r="A60" s="17" t="inlineStr">
        <is>
          <t>TC-SEC-09</t>
        </is>
      </c>
      <c r="B60" s="15" t="inlineStr">
        <is>
          <t>Security &amp; privacy</t>
        </is>
      </c>
      <c r="C60" s="19" t="inlineStr">
        <is>
          <t>Job application cannot grant admin rights</t>
        </is>
      </c>
      <c r="D60" s="15" t="inlineStr">
        <is>
          <t>HR Manager</t>
        </is>
      </c>
      <c r="E60" s="19" t="inlineStr">
        <is>
          <t>—</t>
        </is>
      </c>
      <c r="F60" s="19" t="inlineStr">
        <is>
          <t>Create a Job Application Link and look at the Role list.</t>
        </is>
      </c>
      <c r="G60" s="19" t="inlineStr">
        <is>
          <t>—</t>
        </is>
      </c>
      <c r="H60" s="19" t="inlineStr">
        <is>
          <t>Only hireable roles are offered (Employee, Instructor, Academic Advisor...), never System Manager or HR roles.</t>
        </is>
      </c>
      <c r="I60" s="15" t="inlineStr">
        <is>
          <t>Critical</t>
        </is>
      </c>
      <c r="J60" s="15" t="inlineStr">
        <is>
          <t>Security</t>
        </is>
      </c>
      <c r="K60" s="15" t="inlineStr">
        <is>
          <t>REC-02</t>
        </is>
      </c>
      <c r="L60" s="15" t="inlineStr">
        <is>
          <t>Pass</t>
        </is>
      </c>
      <c r="M60" s="20" t="inlineStr">
        <is>
          <t>Not run</t>
        </is>
      </c>
      <c r="N60" s="20" t="inlineStr"/>
      <c r="O60" s="20" t="inlineStr"/>
      <c r="P60" s="21" t="inlineStr"/>
      <c r="Q60" s="20" t="inlineStr"/>
    </row>
    <row r="61">
      <c r="A61" s="17" t="inlineStr">
        <is>
          <t>TC-EMP-01</t>
        </is>
      </c>
      <c r="B61" s="15" t="inlineStr">
        <is>
          <t>Employee master &amp; Ministry fields</t>
        </is>
      </c>
      <c r="C61" s="19" t="inlineStr">
        <is>
          <t>Edit and save an employee who has a login</t>
        </is>
      </c>
      <c r="D61" s="15" t="inlineStr">
        <is>
          <t>HR Manager</t>
        </is>
      </c>
      <c r="E61" s="19" t="inlineStr">
        <is>
          <t>Employee with a user login.</t>
        </is>
      </c>
      <c r="F61" s="19" t="inlineStr">
        <is>
          <t>Change the mobile number; Save.</t>
        </is>
      </c>
      <c r="G61" s="19" t="inlineStr">
        <is>
          <t>New mobile</t>
        </is>
      </c>
      <c r="H61" s="19" t="inlineStr">
        <is>
          <t>Saved with no error (this used to fail with 'Could not find Gender').</t>
        </is>
      </c>
      <c r="I61" s="15" t="inlineStr">
        <is>
          <t>Critical</t>
        </is>
      </c>
      <c r="J61" s="15" t="inlineStr">
        <is>
          <t>Regression</t>
        </is>
      </c>
      <c r="K61" s="15" t="inlineStr">
        <is>
          <t>EMP-01</t>
        </is>
      </c>
      <c r="L61" s="15" t="inlineStr">
        <is>
          <t>Pass</t>
        </is>
      </c>
      <c r="M61" s="20" t="inlineStr">
        <is>
          <t>Not run</t>
        </is>
      </c>
      <c r="N61" s="20" t="inlineStr"/>
      <c r="O61" s="20" t="inlineStr"/>
      <c r="P61" s="21" t="inlineStr"/>
      <c r="Q61" s="20" t="inlineStr"/>
    </row>
    <row r="62">
      <c r="A62" s="17" t="inlineStr">
        <is>
          <t>TC-EMP-02</t>
        </is>
      </c>
      <c r="B62" s="15" t="inlineStr">
        <is>
          <t>Employee master &amp; Ministry fields</t>
        </is>
      </c>
      <c r="C62" s="19" t="inlineStr">
        <is>
          <t>Lookup fields only offer their own list</t>
        </is>
      </c>
      <c r="D62" s="15" t="inlineStr">
        <is>
          <t>HR Manager</t>
        </is>
      </c>
      <c r="E62" s="19" t="inlineStr">
        <is>
          <t>Employee form open.</t>
        </is>
      </c>
      <c r="F62" s="19" t="inlineStr">
        <is>
          <t>Open Gender, Nationality, Identity Type and Religion drop-downs.</t>
        </is>
      </c>
      <c r="G62" s="19" t="inlineStr">
        <is>
          <t>—</t>
        </is>
      </c>
      <c r="H62" s="19" t="inlineStr">
        <is>
          <t>Each shows only its Ministry list (e.g. Gender: Male, Female).</t>
        </is>
      </c>
      <c r="I62" s="15" t="inlineStr">
        <is>
          <t>High</t>
        </is>
      </c>
      <c r="J62" s="15" t="inlineStr">
        <is>
          <t>Functional</t>
        </is>
      </c>
      <c r="K62" s="15" t="inlineStr">
        <is>
          <t>EMP-02/03</t>
        </is>
      </c>
      <c r="L62" s="15" t="inlineStr">
        <is>
          <t>Pass</t>
        </is>
      </c>
      <c r="M62" s="20" t="inlineStr">
        <is>
          <t>Not run</t>
        </is>
      </c>
      <c r="N62" s="20" t="inlineStr"/>
      <c r="O62" s="20" t="inlineStr"/>
      <c r="P62" s="21" t="inlineStr"/>
      <c r="Q62" s="20" t="inlineStr"/>
    </row>
    <row r="63">
      <c r="A63" s="17" t="inlineStr">
        <is>
          <t>TC-EMP-03</t>
        </is>
      </c>
      <c r="B63" s="15" t="inlineStr">
        <is>
          <t>Employee master &amp; Ministry fields</t>
        </is>
      </c>
      <c r="C63" s="19" t="inlineStr">
        <is>
          <t>Invalid national ID</t>
        </is>
      </c>
      <c r="D63" s="15" t="inlineStr">
        <is>
          <t>HR Manager</t>
        </is>
      </c>
      <c r="E63" s="19" t="inlineStr">
        <is>
          <t>—</t>
        </is>
      </c>
      <c r="F63" s="19" t="inlineStr">
        <is>
          <t>Set Identity Number to 12345 and Save.</t>
        </is>
      </c>
      <c r="G63" s="19" t="inlineStr">
        <is>
          <t>12345</t>
        </is>
      </c>
      <c r="H63" s="19" t="inlineStr">
        <is>
          <t>Refused: a National ID has exactly 10 digits.</t>
        </is>
      </c>
      <c r="I63" s="15" t="inlineStr">
        <is>
          <t>High</t>
        </is>
      </c>
      <c r="J63" s="15" t="inlineStr">
        <is>
          <t>Negative</t>
        </is>
      </c>
      <c r="K63" s="15" t="inlineStr">
        <is>
          <t>EMP-05</t>
        </is>
      </c>
      <c r="L63" s="15" t="inlineStr">
        <is>
          <t>Pass</t>
        </is>
      </c>
      <c r="M63" s="20" t="inlineStr">
        <is>
          <t>Not run</t>
        </is>
      </c>
      <c r="N63" s="20" t="inlineStr"/>
      <c r="O63" s="20" t="inlineStr"/>
      <c r="P63" s="21" t="inlineStr"/>
      <c r="Q63" s="20" t="inlineStr"/>
    </row>
    <row r="64">
      <c r="A64" s="17" t="inlineStr">
        <is>
          <t>TC-EMP-04</t>
        </is>
      </c>
      <c r="B64" s="15" t="inlineStr">
        <is>
          <t>Employee master &amp; Ministry fields</t>
        </is>
      </c>
      <c r="C64" s="19" t="inlineStr">
        <is>
          <t>Duplicate identity number</t>
        </is>
      </c>
      <c r="D64" s="15" t="inlineStr">
        <is>
          <t>HR Manager</t>
        </is>
      </c>
      <c r="E64" s="19" t="inlineStr">
        <is>
          <t>Another employee's ID number.</t>
        </is>
      </c>
      <c r="F64" s="19" t="inlineStr">
        <is>
          <t>Enter it on a different employee; Save.</t>
        </is>
      </c>
      <c r="G64" s="19" t="inlineStr">
        <is>
          <t>Existing ID</t>
        </is>
      </c>
      <c r="H64" s="19" t="inlineStr">
        <is>
          <t>Refused: already registered to &lt;employee&gt;.</t>
        </is>
      </c>
      <c r="I64" s="15" t="inlineStr">
        <is>
          <t>High</t>
        </is>
      </c>
      <c r="J64" s="15" t="inlineStr">
        <is>
          <t>Negative</t>
        </is>
      </c>
      <c r="K64" s="15" t="inlineStr">
        <is>
          <t>EMP-06</t>
        </is>
      </c>
      <c r="L64" s="15" t="inlineStr">
        <is>
          <t>Pass</t>
        </is>
      </c>
      <c r="M64" s="20" t="inlineStr">
        <is>
          <t>Not run</t>
        </is>
      </c>
      <c r="N64" s="20" t="inlineStr"/>
      <c r="O64" s="20" t="inlineStr"/>
      <c r="P64" s="21" t="inlineStr"/>
      <c r="Q64" s="20" t="inlineStr"/>
    </row>
    <row r="65">
      <c r="A65" s="17" t="inlineStr">
        <is>
          <t>TC-EMP-05</t>
        </is>
      </c>
      <c r="B65" s="15" t="inlineStr">
        <is>
          <t>Employee master &amp; Ministry fields</t>
        </is>
      </c>
      <c r="C65" s="19" t="inlineStr">
        <is>
          <t>National ID for a non-Saudi</t>
        </is>
      </c>
      <c r="D65" s="15" t="inlineStr">
        <is>
          <t>HR Manager</t>
        </is>
      </c>
      <c r="E65" s="19" t="inlineStr">
        <is>
          <t>—</t>
        </is>
      </c>
      <c r="F65" s="19" t="inlineStr">
        <is>
          <t>Nationality not Saudi, Identity Type National ID; Save.</t>
        </is>
      </c>
      <c r="G65" s="19" t="inlineStr">
        <is>
          <t>—</t>
        </is>
      </c>
      <c r="H65" s="19" t="inlineStr">
        <is>
          <t>Refused: National ID is only for Saudis.</t>
        </is>
      </c>
      <c r="I65" s="15" t="inlineStr">
        <is>
          <t>Medium</t>
        </is>
      </c>
      <c r="J65" s="15" t="inlineStr">
        <is>
          <t>Negative</t>
        </is>
      </c>
      <c r="K65" s="15" t="inlineStr">
        <is>
          <t>unit/manual</t>
        </is>
      </c>
      <c r="L65" s="15" t="inlineStr">
        <is>
          <t>Unit test</t>
        </is>
      </c>
      <c r="M65" s="20" t="inlineStr">
        <is>
          <t>Not run</t>
        </is>
      </c>
      <c r="N65" s="20" t="inlineStr"/>
      <c r="O65" s="20" t="inlineStr"/>
      <c r="P65" s="21" t="inlineStr"/>
      <c r="Q65" s="20" t="inlineStr"/>
    </row>
    <row r="66">
      <c r="A66" s="17" t="inlineStr">
        <is>
          <t>TC-EMP-09</t>
        </is>
      </c>
      <c r="B66" s="15" t="inlineStr">
        <is>
          <t>Employee master &amp; Ministry fields</t>
        </is>
      </c>
      <c r="C66" s="19" t="inlineStr">
        <is>
          <t>Non-Saudi employee with an Iqama</t>
        </is>
      </c>
      <c r="D66" s="15" t="inlineStr">
        <is>
          <t>HR Manager</t>
        </is>
      </c>
      <c r="E66" s="19" t="inlineStr">
        <is>
          <t>An employee whose Nationality is not Saudi and Identity Type is Iqama.</t>
        </is>
      </c>
      <c r="F66" s="19" t="inlineStr">
        <is>
          <t>1. Open the employee.
2. Look at Identity Number and ID Number in Country of Origin.
3. Change any field and Save.</t>
        </is>
      </c>
      <c r="G66" s="19" t="inlineStr">
        <is>
          <t>Iqama 2XXXXXXXXX</t>
        </is>
      </c>
      <c r="H66" s="19" t="inlineStr">
        <is>
          <t>The record opens without 'Not Saved'. Identity Number still shows the Iqama and is mandatory; the home-country ID is optional. Save works.</t>
        </is>
      </c>
      <c r="I66" s="15" t="inlineStr">
        <is>
          <t>Critical</t>
        </is>
      </c>
      <c r="J66" s="15" t="inlineStr">
        <is>
          <t>Regression</t>
        </is>
      </c>
      <c r="K66" s="15" t="inlineStr">
        <is>
          <t>EMP-08</t>
        </is>
      </c>
      <c r="L66" s="15" t="inlineStr">
        <is>
          <t>Pass</t>
        </is>
      </c>
      <c r="M66" s="20" t="inlineStr">
        <is>
          <t>Not run</t>
        </is>
      </c>
      <c r="N66" s="20" t="inlineStr"/>
      <c r="O66" s="20" t="inlineStr"/>
      <c r="P66" s="21" t="inlineStr"/>
      <c r="Q66" s="20" t="inlineStr"/>
    </row>
    <row r="67">
      <c r="A67" s="17" t="inlineStr">
        <is>
          <t>TC-EMP-06</t>
        </is>
      </c>
      <c r="B67" s="15" t="inlineStr">
        <is>
          <t>Employee master &amp; Ministry fields</t>
        </is>
      </c>
      <c r="C67" s="19" t="inlineStr">
        <is>
          <t>Qualification 'Appreciation' list</t>
        </is>
      </c>
      <c r="D67" s="15" t="inlineStr">
        <is>
          <t>HR Manager</t>
        </is>
      </c>
      <c r="E67" s="19" t="inlineStr">
        <is>
          <t>—</t>
        </is>
      </c>
      <c r="F67" s="19" t="inlineStr">
        <is>
          <t>Add a qualification row; open Appreciation.</t>
        </is>
      </c>
      <c r="G67" s="19" t="inlineStr">
        <is>
          <t>—</t>
        </is>
      </c>
      <c r="H67" s="19" t="inlineStr">
        <is>
          <t>Grades are offered (Excellent, Very good, Good...), not GPA systems.</t>
        </is>
      </c>
      <c r="I67" s="15" t="inlineStr">
        <is>
          <t>High</t>
        </is>
      </c>
      <c r="J67" s="15" t="inlineStr">
        <is>
          <t>Regression</t>
        </is>
      </c>
      <c r="K67" s="15" t="inlineStr">
        <is>
          <t>REC-05</t>
        </is>
      </c>
      <c r="L67" s="15" t="inlineStr">
        <is>
          <t>Pass</t>
        </is>
      </c>
      <c r="M67" s="20" t="inlineStr">
        <is>
          <t>Not run</t>
        </is>
      </c>
      <c r="N67" s="20" t="inlineStr"/>
      <c r="O67" s="20" t="inlineStr"/>
      <c r="P67" s="21" t="inlineStr"/>
      <c r="Q67" s="20" t="inlineStr"/>
    </row>
    <row r="68">
      <c r="A68" s="17" t="inlineStr">
        <is>
          <t>TC-EMP-07</t>
        </is>
      </c>
      <c r="B68" s="15" t="inlineStr">
        <is>
          <t>Employee master &amp; Ministry fields</t>
        </is>
      </c>
      <c r="C68" s="19" t="inlineStr">
        <is>
          <t>Ministry (Jameah) Data preview</t>
        </is>
      </c>
      <c r="D68" s="15" t="inlineStr">
        <is>
          <t>HR Manager</t>
        </is>
      </c>
      <c r="E68" s="19" t="inlineStr">
        <is>
          <t>An employee of Al Riyada College.</t>
        </is>
      </c>
      <c r="F68" s="19" t="inlineStr">
        <is>
          <t>Employee form -&gt; View -&gt; Ministry (Jameah) Data.</t>
        </is>
      </c>
      <c r="G68" s="19" t="inlineStr">
        <is>
          <t>—</t>
        </is>
      </c>
      <c r="H68" s="19" t="inlineStr">
        <is>
          <t>Pop-up with the 5 Ministry sections; lookup columns show codes (e.g. Nationality 101).</t>
        </is>
      </c>
      <c r="I68" s="15" t="inlineStr">
        <is>
          <t>Medium</t>
        </is>
      </c>
      <c r="J68" s="15" t="inlineStr">
        <is>
          <t>Functional</t>
        </is>
      </c>
      <c r="K68" s="15" t="inlineStr">
        <is>
          <t>EMP-07</t>
        </is>
      </c>
      <c r="L68" s="15" t="inlineStr">
        <is>
          <t>Pass</t>
        </is>
      </c>
      <c r="M68" s="20" t="inlineStr">
        <is>
          <t>Not run</t>
        </is>
      </c>
      <c r="N68" s="20" t="inlineStr"/>
      <c r="O68" s="20" t="inlineStr"/>
      <c r="P68" s="21" t="inlineStr"/>
      <c r="Q68" s="20" t="inlineStr"/>
    </row>
    <row r="69">
      <c r="A69" s="17" t="inlineStr">
        <is>
          <t>TC-EMP-08</t>
        </is>
      </c>
      <c r="B69" s="15" t="inlineStr">
        <is>
          <t>Employee master &amp; Ministry fields</t>
        </is>
      </c>
      <c r="C69" s="19" t="inlineStr">
        <is>
          <t>Teaching staff are not sent as Employees</t>
        </is>
      </c>
      <c r="D69" s="15" t="inlineStr">
        <is>
          <t>HR Manager</t>
        </is>
      </c>
      <c r="E69" s="19" t="inlineStr">
        <is>
          <t>An employee linked to an Instructor.</t>
        </is>
      </c>
      <c r="F69" s="19" t="inlineStr">
        <is>
          <t>Open the Ministry (Jameah) Data preview.</t>
        </is>
      </c>
      <c r="G69" s="19" t="inlineStr">
        <is>
          <t>—</t>
        </is>
      </c>
      <c r="H69" s="19" t="inlineStr">
        <is>
          <t>Says the person is sent as Faculty, not as an Employee.</t>
        </is>
      </c>
      <c r="I69" s="15" t="inlineStr">
        <is>
          <t>Medium</t>
        </is>
      </c>
      <c r="J69" s="15" t="inlineStr">
        <is>
          <t>Functional</t>
        </is>
      </c>
      <c r="K69" s="15" t="inlineStr">
        <is>
          <t>REC-07</t>
        </is>
      </c>
      <c r="L69" s="15" t="inlineStr">
        <is>
          <t>Pass</t>
        </is>
      </c>
      <c r="M69" s="20" t="inlineStr">
        <is>
          <t>Not run</t>
        </is>
      </c>
      <c r="N69" s="20" t="inlineStr"/>
      <c r="O69" s="20" t="inlineStr"/>
      <c r="P69" s="21" t="inlineStr"/>
      <c r="Q69" s="20" t="inlineStr"/>
    </row>
    <row r="70">
      <c r="A70" s="17" t="inlineStr">
        <is>
          <t>TC-LIC-01</t>
        </is>
      </c>
      <c r="B70" s="15" t="inlineStr">
        <is>
          <t>Medical licences</t>
        </is>
      </c>
      <c r="C70" s="19" t="inlineStr">
        <is>
          <t>HR creates a licence</t>
        </is>
      </c>
      <c r="D70" s="15" t="inlineStr">
        <is>
          <t>HR Manager</t>
        </is>
      </c>
      <c r="E70" s="19" t="inlineStr">
        <is>
          <t>—</t>
        </is>
      </c>
      <c r="F70" s="19" t="inlineStr">
        <is>
          <t>New Employee Medical License: employee, type, number, expiry; Save.</t>
        </is>
      </c>
      <c r="G70" s="19" t="inlineStr">
        <is>
          <t>—</t>
        </is>
      </c>
      <c r="H70" s="19" t="inlineStr">
        <is>
          <t>Saved.</t>
        </is>
      </c>
      <c r="I70" s="15" t="inlineStr">
        <is>
          <t>Medium</t>
        </is>
      </c>
      <c r="J70" s="15" t="inlineStr">
        <is>
          <t>Functional</t>
        </is>
      </c>
      <c r="K70" s="15" t="inlineStr">
        <is>
          <t>LIC-01</t>
        </is>
      </c>
      <c r="L70" s="15" t="inlineStr">
        <is>
          <t>Pass</t>
        </is>
      </c>
      <c r="M70" s="20" t="inlineStr">
        <is>
          <t>Not run</t>
        </is>
      </c>
      <c r="N70" s="20" t="inlineStr"/>
      <c r="O70" s="20" t="inlineStr"/>
      <c r="P70" s="21" t="inlineStr"/>
      <c r="Q70" s="20" t="inlineStr"/>
    </row>
    <row r="71">
      <c r="A71" s="17" t="inlineStr">
        <is>
          <t>TC-LIC-02</t>
        </is>
      </c>
      <c r="B71" s="15" t="inlineStr">
        <is>
          <t>Medical licences</t>
        </is>
      </c>
      <c r="C71" s="19" t="inlineStr">
        <is>
          <t>Employees see only their own licence</t>
        </is>
      </c>
      <c r="D71" s="15" t="inlineStr">
        <is>
          <t>Employee</t>
        </is>
      </c>
      <c r="E71" s="19" t="inlineStr">
        <is>
          <t>Licences for two employees.</t>
        </is>
      </c>
      <c r="F71" s="19" t="inlineStr">
        <is>
          <t>Each employee opens the licence list.</t>
        </is>
      </c>
      <c r="G71" s="19" t="inlineStr">
        <is>
          <t>—</t>
        </is>
      </c>
      <c r="H71" s="19" t="inlineStr">
        <is>
          <t>Only their own licence.</t>
        </is>
      </c>
      <c r="I71" s="15" t="inlineStr">
        <is>
          <t>High</t>
        </is>
      </c>
      <c r="J71" s="15" t="inlineStr">
        <is>
          <t>Security</t>
        </is>
      </c>
      <c r="K71" s="15" t="inlineStr">
        <is>
          <t>LIC-02</t>
        </is>
      </c>
      <c r="L71" s="15" t="inlineStr">
        <is>
          <t>Pass</t>
        </is>
      </c>
      <c r="M71" s="20" t="inlineStr">
        <is>
          <t>Not run</t>
        </is>
      </c>
      <c r="N71" s="20" t="inlineStr"/>
      <c r="O71" s="20" t="inlineStr"/>
      <c r="P71" s="21" t="inlineStr"/>
      <c r="Q71" s="20" t="inlineStr"/>
    </row>
    <row r="72">
      <c r="A72" s="17" t="inlineStr">
        <is>
          <t>TC-REC-01</t>
        </is>
      </c>
      <c r="B72" s="15" t="inlineStr">
        <is>
          <t>Recruitment</t>
        </is>
      </c>
      <c r="C72" s="19" t="inlineStr">
        <is>
          <t>Create and generate an application link</t>
        </is>
      </c>
      <c r="D72" s="15" t="inlineStr">
        <is>
          <t>HR Manager</t>
        </is>
      </c>
      <c r="E72" s="19" t="inlineStr">
        <is>
          <t>—</t>
        </is>
      </c>
      <c r="F72" s="19" t="inlineStr">
        <is>
          <t>1. New Job Application Link.
2. Category Academic Staff, Role Instructor, valid from/until.
3. Save.
4. Generate Link.</t>
        </is>
      </c>
      <c r="G72" s="19" t="inlineStr">
        <is>
          <t>—</t>
        </is>
      </c>
      <c r="H72" s="19" t="inlineStr">
        <is>
          <t>A link is shown and can be copied.</t>
        </is>
      </c>
      <c r="I72" s="15" t="inlineStr">
        <is>
          <t>High</t>
        </is>
      </c>
      <c r="J72" s="15" t="inlineStr">
        <is>
          <t>Functional</t>
        </is>
      </c>
      <c r="K72" s="15" t="inlineStr">
        <is>
          <t>REC-03</t>
        </is>
      </c>
      <c r="L72" s="15" t="inlineStr">
        <is>
          <t>Pass</t>
        </is>
      </c>
      <c r="M72" s="20" t="inlineStr">
        <is>
          <t>Not run</t>
        </is>
      </c>
      <c r="N72" s="20" t="inlineStr"/>
      <c r="O72" s="20" t="inlineStr"/>
      <c r="P72" s="21" t="inlineStr"/>
      <c r="Q72" s="20" t="inlineStr"/>
    </row>
    <row r="73">
      <c r="A73" s="17" t="inlineStr">
        <is>
          <t>TC-REC-02</t>
        </is>
      </c>
      <c r="B73" s="15" t="inlineStr">
        <is>
          <t>Recruitment</t>
        </is>
      </c>
      <c r="C73" s="19" t="inlineStr">
        <is>
          <t>Invalid or expired link</t>
        </is>
      </c>
      <c r="D73" s="15" t="inlineStr">
        <is>
          <t>Applicant (not logged in)</t>
        </is>
      </c>
      <c r="E73" s="19" t="inlineStr">
        <is>
          <t>—</t>
        </is>
      </c>
      <c r="F73" s="19" t="inlineStr">
        <is>
          <t>Open /job-application/abc123 and an expired link.</t>
        </is>
      </c>
      <c r="G73" s="19" t="inlineStr">
        <is>
          <t>—</t>
        </is>
      </c>
      <c r="H73" s="19" t="inlineStr">
        <is>
          <t>'Link is invalid / not active' message; no form.</t>
        </is>
      </c>
      <c r="I73" s="15" t="inlineStr">
        <is>
          <t>Medium</t>
        </is>
      </c>
      <c r="J73" s="15" t="inlineStr">
        <is>
          <t>Negative</t>
        </is>
      </c>
      <c r="K73" s="15" t="inlineStr">
        <is>
          <t>REC-01</t>
        </is>
      </c>
      <c r="L73" s="15" t="inlineStr">
        <is>
          <t>Pass</t>
        </is>
      </c>
      <c r="M73" s="20" t="inlineStr">
        <is>
          <t>Not run</t>
        </is>
      </c>
      <c r="N73" s="20" t="inlineStr"/>
      <c r="O73" s="20" t="inlineStr"/>
      <c r="P73" s="21" t="inlineStr"/>
      <c r="Q73" s="20" t="inlineStr"/>
    </row>
    <row r="74">
      <c r="A74" s="17" t="inlineStr">
        <is>
          <t>TC-REC-03</t>
        </is>
      </c>
      <c r="B74" s="15" t="inlineStr">
        <is>
          <t>Recruitment</t>
        </is>
      </c>
      <c r="C74" s="19" t="inlineStr">
        <is>
          <t>Required fields on the public form</t>
        </is>
      </c>
      <c r="D74" s="15" t="inlineStr">
        <is>
          <t>Applicant (not logged in)</t>
        </is>
      </c>
      <c r="E74" s="19" t="inlineStr">
        <is>
          <t>Valid link.</t>
        </is>
      </c>
      <c r="F74" s="19" t="inlineStr">
        <is>
          <t>Click Submit with the form empty.</t>
        </is>
      </c>
      <c r="G74" s="19" t="inlineStr">
        <is>
          <t>—</t>
        </is>
      </c>
      <c r="H74" s="19" t="inlineStr">
        <is>
          <t>Browser highlights the required fields; nothing is sent.</t>
        </is>
      </c>
      <c r="I74" s="15" t="inlineStr">
        <is>
          <t>Medium</t>
        </is>
      </c>
      <c r="J74" s="15" t="inlineStr">
        <is>
          <t>Negative</t>
        </is>
      </c>
      <c r="K74" s="15" t="inlineStr">
        <is>
          <t>—</t>
        </is>
      </c>
      <c r="L74" s="15" t="inlineStr">
        <is>
          <t>Manual only</t>
        </is>
      </c>
      <c r="M74" s="20" t="inlineStr">
        <is>
          <t>Not run</t>
        </is>
      </c>
      <c r="N74" s="20" t="inlineStr"/>
      <c r="O74" s="20" t="inlineStr"/>
      <c r="P74" s="21" t="inlineStr"/>
      <c r="Q74" s="20" t="inlineStr"/>
    </row>
    <row r="75">
      <c r="A75" s="17" t="inlineStr">
        <is>
          <t>TC-REC-04</t>
        </is>
      </c>
      <c r="B75" s="15" t="inlineStr">
        <is>
          <t>Recruitment</t>
        </is>
      </c>
      <c r="C75" s="19" t="inlineStr">
        <is>
          <t>Applicant submits the full form</t>
        </is>
      </c>
      <c r="D75" s="15" t="inlineStr">
        <is>
          <t>Applicant (not logged in)</t>
        </is>
      </c>
      <c r="E75" s="19" t="inlineStr">
        <is>
          <t>Valid link.</t>
        </is>
      </c>
      <c r="F75" s="19" t="inlineStr">
        <is>
          <t>Fill every section (names in Arabic and English, ID, qualifications, experience) and Submit.</t>
        </is>
      </c>
      <c r="G75" s="19" t="inlineStr">
        <is>
          <t>Saudi national ID</t>
        </is>
      </c>
      <c r="H75" s="19" t="inlineStr">
        <is>
          <t>'Thank you' with a reference number APP-....</t>
        </is>
      </c>
      <c r="I75" s="15" t="inlineStr">
        <is>
          <t>Critical</t>
        </is>
      </c>
      <c r="J75" s="15" t="inlineStr">
        <is>
          <t>Functional</t>
        </is>
      </c>
      <c r="K75" s="15" t="inlineStr">
        <is>
          <t>REC-03..05</t>
        </is>
      </c>
      <c r="L75" s="15" t="inlineStr">
        <is>
          <t>Pass</t>
        </is>
      </c>
      <c r="M75" s="20" t="inlineStr">
        <is>
          <t>Not run</t>
        </is>
      </c>
      <c r="N75" s="20" t="inlineStr"/>
      <c r="O75" s="20" t="inlineStr"/>
      <c r="P75" s="21" t="inlineStr"/>
      <c r="Q75" s="20" t="inlineStr"/>
    </row>
    <row r="76">
      <c r="A76" s="17" t="inlineStr">
        <is>
          <t>TC-REC-05</t>
        </is>
      </c>
      <c r="B76" s="15" t="inlineStr">
        <is>
          <t>Recruitment</t>
        </is>
      </c>
      <c r="C76" s="19" t="inlineStr">
        <is>
          <t>Accept and create an Instructor</t>
        </is>
      </c>
      <c r="D76" s="15" t="inlineStr">
        <is>
          <t>HR Manager</t>
        </is>
      </c>
      <c r="E76" s="19" t="inlineStr">
        <is>
          <t>TC-REC-04 for an Instructor link.</t>
        </is>
      </c>
      <c r="F76" s="19" t="inlineStr">
        <is>
          <t>1. Open the applicant.
2. Accept.
3. Create Employee: Company Email = official college address, department.
4. Confirm.</t>
        </is>
      </c>
      <c r="G76" s="19" t="inlineStr">
        <is>
          <t>name.surname@alriyada.edu.sa</t>
        </is>
      </c>
      <c r="H76" s="19" t="inlineStr">
        <is>
          <t>Message lists Employee and Instructor created; the new login has Employee + Instructor roles.</t>
        </is>
      </c>
      <c r="I76" s="15" t="inlineStr">
        <is>
          <t>Critical</t>
        </is>
      </c>
      <c r="J76" s="15" t="inlineStr">
        <is>
          <t>Functional</t>
        </is>
      </c>
      <c r="K76" s="15" t="inlineStr">
        <is>
          <t>REC-03</t>
        </is>
      </c>
      <c r="L76" s="15" t="inlineStr">
        <is>
          <t>Pass</t>
        </is>
      </c>
      <c r="M76" s="20" t="inlineStr">
        <is>
          <t>Not run</t>
        </is>
      </c>
      <c r="N76" s="20" t="inlineStr"/>
      <c r="O76" s="20" t="inlineStr"/>
      <c r="P76" s="21" t="inlineStr"/>
      <c r="Q76" s="20" t="inlineStr"/>
    </row>
    <row r="77">
      <c r="A77" s="17" t="inlineStr">
        <is>
          <t>TC-REC-06</t>
        </is>
      </c>
      <c r="B77" s="15" t="inlineStr">
        <is>
          <t>Recruitment</t>
        </is>
      </c>
      <c r="C77" s="19" t="inlineStr">
        <is>
          <t>Hire an Academic Advisor</t>
        </is>
      </c>
      <c r="D77" s="15" t="inlineStr">
        <is>
          <t>HR Manager</t>
        </is>
      </c>
      <c r="E77" s="19" t="inlineStr">
        <is>
          <t>Applicant for an Academic Advisor link with a phone like 05XXXXXXXX.</t>
        </is>
      </c>
      <c r="F77" s="19" t="inlineStr">
        <is>
          <t>Accept -&gt; Create Employee with a @alriyada.edu.sa Company Email.</t>
        </is>
      </c>
      <c r="G77" s="19" t="inlineStr">
        <is>
          <t>Local phone number</t>
        </is>
      </c>
      <c r="H77" s="19" t="inlineStr">
        <is>
          <t>Employee, Academic Advisor and Instructor records created; no 'record not created' warning.</t>
        </is>
      </c>
      <c r="I77" s="15" t="inlineStr">
        <is>
          <t>High</t>
        </is>
      </c>
      <c r="J77" s="15" t="inlineStr">
        <is>
          <t>Regression</t>
        </is>
      </c>
      <c r="K77" s="15" t="inlineStr">
        <is>
          <t>REC-04</t>
        </is>
      </c>
      <c r="L77" s="15" t="inlineStr">
        <is>
          <t>Pass</t>
        </is>
      </c>
      <c r="M77" s="20" t="inlineStr">
        <is>
          <t>Not run</t>
        </is>
      </c>
      <c r="N77" s="20" t="inlineStr"/>
      <c r="O77" s="20" t="inlineStr"/>
      <c r="P77" s="21" t="inlineStr"/>
      <c r="Q77" s="20" t="inlineStr"/>
    </row>
    <row r="78">
      <c r="A78" s="17" t="inlineStr">
        <is>
          <t>TC-REC-07</t>
        </is>
      </c>
      <c r="B78" s="15" t="inlineStr">
        <is>
          <t>Recruitment</t>
        </is>
      </c>
      <c r="C78" s="19" t="inlineStr">
        <is>
          <t>Hire non-academic staff</t>
        </is>
      </c>
      <c r="D78" s="15" t="inlineStr">
        <is>
          <t>HR Manager</t>
        </is>
      </c>
      <c r="E78" s="19" t="inlineStr">
        <is>
          <t>Applicant for a Non-Academic link.</t>
        </is>
      </c>
      <c r="F78" s="19" t="inlineStr">
        <is>
          <t>Accept -&gt; Create Employee.</t>
        </is>
      </c>
      <c r="G78" s="19" t="inlineStr">
        <is>
          <t>—</t>
        </is>
      </c>
      <c r="H78" s="19" t="inlineStr">
        <is>
          <t>Employee created; work phone and extension kept on the Employee.</t>
        </is>
      </c>
      <c r="I78" s="15" t="inlineStr">
        <is>
          <t>High</t>
        </is>
      </c>
      <c r="J78" s="15" t="inlineStr">
        <is>
          <t>Functional</t>
        </is>
      </c>
      <c r="K78" s="15" t="inlineStr">
        <is>
          <t>REC-05/06</t>
        </is>
      </c>
      <c r="L78" s="15" t="inlineStr">
        <is>
          <t>Pass</t>
        </is>
      </c>
      <c r="M78" s="20" t="inlineStr">
        <is>
          <t>Not run</t>
        </is>
      </c>
      <c r="N78" s="20" t="inlineStr"/>
      <c r="O78" s="20" t="inlineStr"/>
      <c r="P78" s="21" t="inlineStr"/>
      <c r="Q78" s="20" t="inlineStr"/>
    </row>
    <row r="79">
      <c r="A79" s="17" t="inlineStr">
        <is>
          <t>TC-REC-08</t>
        </is>
      </c>
      <c r="B79" s="15" t="inlineStr">
        <is>
          <t>Recruitment</t>
        </is>
      </c>
      <c r="C79" s="19" t="inlineStr">
        <is>
          <t>Reject an applicant</t>
        </is>
      </c>
      <c r="D79" s="15" t="inlineStr">
        <is>
          <t>HR Manager</t>
        </is>
      </c>
      <c r="E79" s="19" t="inlineStr">
        <is>
          <t>A Pending applicant.</t>
        </is>
      </c>
      <c r="F79" s="19" t="inlineStr">
        <is>
          <t>Click Reject.</t>
        </is>
      </c>
      <c r="G79" s="19" t="inlineStr">
        <is>
          <t>—</t>
        </is>
      </c>
      <c r="H79" s="19" t="inlineStr">
        <is>
          <t>Status Rejected; Create Employee not offered.</t>
        </is>
      </c>
      <c r="I79" s="15" t="inlineStr">
        <is>
          <t>Medium</t>
        </is>
      </c>
      <c r="J79" s="15" t="inlineStr">
        <is>
          <t>Functional</t>
        </is>
      </c>
      <c r="K79" s="15" t="inlineStr">
        <is>
          <t>—</t>
        </is>
      </c>
      <c r="L79" s="15" t="inlineStr">
        <is>
          <t>Manual only</t>
        </is>
      </c>
      <c r="M79" s="20" t="inlineStr">
        <is>
          <t>Not run</t>
        </is>
      </c>
      <c r="N79" s="20" t="inlineStr"/>
      <c r="O79" s="20" t="inlineStr"/>
      <c r="P79" s="21" t="inlineStr"/>
      <c r="Q79" s="20" t="inlineStr"/>
    </row>
    <row r="80">
      <c r="A80" s="17" t="inlineStr">
        <is>
          <t>TC-REC-09</t>
        </is>
      </c>
      <c r="B80" s="15" t="inlineStr">
        <is>
          <t>Recruitment</t>
        </is>
      </c>
      <c r="C80" s="19" t="inlineStr">
        <is>
          <t>Duplicate applicant identity</t>
        </is>
      </c>
      <c r="D80" s="15" t="inlineStr">
        <is>
          <t>Applicant (not logged in)</t>
        </is>
      </c>
      <c r="E80" s="19" t="inlineStr">
        <is>
          <t>An employee already has the ID number.</t>
        </is>
      </c>
      <c r="F80" s="19" t="inlineStr">
        <is>
          <t>Submit a new application with that ID; HR tries to create the Employee.</t>
        </is>
      </c>
      <c r="G80" s="19" t="inlineStr">
        <is>
          <t>Existing ID</t>
        </is>
      </c>
      <c r="H80" s="19" t="inlineStr">
        <is>
          <t>Creating the Employee is refused as a duplicate.</t>
        </is>
      </c>
      <c r="I80" s="15" t="inlineStr">
        <is>
          <t>Medium</t>
        </is>
      </c>
      <c r="J80" s="15" t="inlineStr">
        <is>
          <t>Negative</t>
        </is>
      </c>
      <c r="K80" s="15" t="inlineStr">
        <is>
          <t>—</t>
        </is>
      </c>
      <c r="L80" s="15" t="inlineStr">
        <is>
          <t>Manual only</t>
        </is>
      </c>
      <c r="M80" s="20" t="inlineStr">
        <is>
          <t>Not run</t>
        </is>
      </c>
      <c r="N80" s="20" t="inlineStr"/>
      <c r="O80" s="20" t="inlineStr"/>
      <c r="P80" s="21" t="inlineStr"/>
      <c r="Q80" s="20" t="inlineStr"/>
    </row>
    <row r="81">
      <c r="A81" s="17" t="inlineStr">
        <is>
          <t>TC-REC-11</t>
        </is>
      </c>
      <c r="B81" s="15" t="inlineStr">
        <is>
          <t>Recruitment</t>
        </is>
      </c>
      <c r="C81" s="19" t="inlineStr">
        <is>
          <t>A new hire's record opens clean</t>
        </is>
      </c>
      <c r="D81" s="15" t="inlineStr">
        <is>
          <t>HR Manager</t>
        </is>
      </c>
      <c r="E81" s="19" t="inlineStr">
        <is>
          <t>An applicant who answered 'Has Special Needs = No' but also picked a type (and, if Saudi, typed a home-country ID).</t>
        </is>
      </c>
      <c r="F81" s="19" t="inlineStr">
        <is>
          <t>1. Hire them (Create Employee).
2. Open the new Employee record.</t>
        </is>
      </c>
      <c r="G81" s="19" t="inlineStr">
        <is>
          <t>—</t>
        </is>
      </c>
      <c r="H81" s="19" t="inlineStr">
        <is>
          <t>The record shows its status (not 'Not Saved'); special-needs type and home-country ID are empty.</t>
        </is>
      </c>
      <c r="I81" s="15" t="inlineStr">
        <is>
          <t>High</t>
        </is>
      </c>
      <c r="J81" s="15" t="inlineStr">
        <is>
          <t>Regression</t>
        </is>
      </c>
      <c r="K81" s="15" t="inlineStr">
        <is>
          <t>REC-09</t>
        </is>
      </c>
      <c r="L81" s="15" t="inlineStr">
        <is>
          <t>Pass</t>
        </is>
      </c>
      <c r="M81" s="20" t="inlineStr">
        <is>
          <t>Not run</t>
        </is>
      </c>
      <c r="N81" s="20" t="inlineStr"/>
      <c r="O81" s="20" t="inlineStr"/>
      <c r="P81" s="21" t="inlineStr"/>
      <c r="Q81" s="20" t="inlineStr"/>
    </row>
    <row r="82">
      <c r="A82" s="17" t="inlineStr">
        <is>
          <t>TC-REC-10</t>
        </is>
      </c>
      <c r="B82" s="15" t="inlineStr">
        <is>
          <t>Recruitment</t>
        </is>
      </c>
      <c r="C82" s="19" t="inlineStr">
        <is>
          <t>Academic hire needs the college e-mail</t>
        </is>
      </c>
      <c r="D82" s="15" t="inlineStr">
        <is>
          <t>HR Manager</t>
        </is>
      </c>
      <c r="E82" s="19" t="inlineStr">
        <is>
          <t>An Accepted applicant from an Instructor link.</t>
        </is>
      </c>
      <c r="F82" s="19" t="inlineStr">
        <is>
          <t>1. Create Employee.
2. Leave Company Email empty (or a gmail address).
3. Confirm.
4. Then enter a @alriyada.edu.sa address and confirm again.</t>
        </is>
      </c>
      <c r="G82" s="19" t="inlineStr">
        <is>
          <t>Personal e-mail, then college e-mail</t>
        </is>
      </c>
      <c r="H82" s="19" t="inlineStr">
        <is>
          <t>Step 3: 'College E-mail Needed' message and NO Employee is created. Step 4: Employee and Instructor are created, no orange warning.</t>
        </is>
      </c>
      <c r="I82" s="15" t="inlineStr">
        <is>
          <t>High</t>
        </is>
      </c>
      <c r="J82" s="15" t="inlineStr">
        <is>
          <t>Negative</t>
        </is>
      </c>
      <c r="K82" s="15" t="inlineStr">
        <is>
          <t>REC-08</t>
        </is>
      </c>
      <c r="L82" s="15" t="inlineStr">
        <is>
          <t>Pass</t>
        </is>
      </c>
      <c r="M82" s="20" t="inlineStr">
        <is>
          <t>Not run</t>
        </is>
      </c>
      <c r="N82" s="20" t="inlineStr"/>
      <c r="O82" s="20" t="inlineStr"/>
      <c r="P82" s="21" t="inlineStr"/>
      <c r="Q82" s="20" t="inlineStr"/>
    </row>
    <row r="83">
      <c r="A83" s="17" t="inlineStr">
        <is>
          <t>TC-PRS-01</t>
        </is>
      </c>
      <c r="B83" s="15" t="inlineStr">
        <is>
          <t>Academic presence</t>
        </is>
      </c>
      <c r="C83" s="19" t="inlineStr">
        <is>
          <t>Faculty schedules</t>
        </is>
      </c>
      <c r="D83" s="15" t="inlineStr">
        <is>
          <t>HR Manager</t>
        </is>
      </c>
      <c r="E83" s="19" t="inlineStr">
        <is>
          <t>Published class timetables.</t>
        </is>
      </c>
      <c r="F83" s="19" t="inlineStr">
        <is>
          <t>HR Dashboard -&gt; Faculty Schedules; choose a week.</t>
        </is>
      </c>
      <c r="G83" s="19" t="inlineStr">
        <is>
          <t>6–12 Sep 2026</t>
        </is>
      </c>
      <c r="H83" s="19" t="inlineStr">
        <is>
          <t>Sessions per faculty member with day, time, course, room and mode.</t>
        </is>
      </c>
      <c r="I83" s="15" t="inlineStr">
        <is>
          <t>High</t>
        </is>
      </c>
      <c r="J83" s="15" t="inlineStr">
        <is>
          <t>Functional</t>
        </is>
      </c>
      <c r="K83" s="15" t="inlineStr">
        <is>
          <t>PRS-01</t>
        </is>
      </c>
      <c r="L83" s="15" t="inlineStr">
        <is>
          <t>Pass</t>
        </is>
      </c>
      <c r="M83" s="20" t="inlineStr">
        <is>
          <t>Not run</t>
        </is>
      </c>
      <c r="N83" s="20" t="inlineStr"/>
      <c r="O83" s="20" t="inlineStr"/>
      <c r="P83" s="21" t="inlineStr"/>
      <c r="Q83" s="20" t="inlineStr"/>
    </row>
    <row r="84">
      <c r="A84" s="17" t="inlineStr">
        <is>
          <t>TC-PRS-02</t>
        </is>
      </c>
      <c r="B84" s="15" t="inlineStr">
        <is>
          <t>Academic presence</t>
        </is>
      </c>
      <c r="C84" s="19" t="inlineStr">
        <is>
          <t>Filter one faculty member</t>
        </is>
      </c>
      <c r="D84" s="15" t="inlineStr">
        <is>
          <t>HR Manager</t>
        </is>
      </c>
      <c r="E84" s="19" t="inlineStr">
        <is>
          <t>—</t>
        </is>
      </c>
      <c r="F84" s="19" t="inlineStr">
        <is>
          <t>Pick a faculty member in the filter.</t>
        </is>
      </c>
      <c r="G84" s="19" t="inlineStr">
        <is>
          <t>—</t>
        </is>
      </c>
      <c r="H84" s="19" t="inlineStr">
        <is>
          <t>Only that person's sessions.</t>
        </is>
      </c>
      <c r="I84" s="15" t="inlineStr">
        <is>
          <t>Medium</t>
        </is>
      </c>
      <c r="J84" s="15" t="inlineStr">
        <is>
          <t>Functional</t>
        </is>
      </c>
      <c r="K84" s="15" t="inlineStr">
        <is>
          <t>PRS-02</t>
        </is>
      </c>
      <c r="L84" s="15" t="inlineStr">
        <is>
          <t>Pass</t>
        </is>
      </c>
      <c r="M84" s="20" t="inlineStr">
        <is>
          <t>Not run</t>
        </is>
      </c>
      <c r="N84" s="20" t="inlineStr"/>
      <c r="O84" s="20" t="inlineStr"/>
      <c r="P84" s="21" t="inlineStr"/>
      <c r="Q84" s="20" t="inlineStr"/>
    </row>
    <row r="85">
      <c r="A85" s="17" t="inlineStr">
        <is>
          <t>TC-PRS-03</t>
        </is>
      </c>
      <c r="B85" s="15" t="inlineStr">
        <is>
          <t>Academic presence</t>
        </is>
      </c>
      <c r="C85" s="19" t="inlineStr">
        <is>
          <t>Proctor schedules</t>
        </is>
      </c>
      <c r="D85" s="15" t="inlineStr">
        <is>
          <t>HR Manager</t>
        </is>
      </c>
      <c r="E85" s="19" t="inlineStr">
        <is>
          <t>Exam committees with proctors.</t>
        </is>
      </c>
      <c r="F85" s="19" t="inlineStr">
        <is>
          <t>Open Proctor Schedules for the exam week.</t>
        </is>
      </c>
      <c r="G85" s="19" t="inlineStr">
        <is>
          <t>Exam week</t>
        </is>
      </c>
      <c r="H85" s="19" t="inlineStr">
        <is>
          <t>Proctor assignments, or a clear 'no assignments' message.</t>
        </is>
      </c>
      <c r="I85" s="15" t="inlineStr">
        <is>
          <t>Medium</t>
        </is>
      </c>
      <c r="J85" s="15" t="inlineStr">
        <is>
          <t>Functional</t>
        </is>
      </c>
      <c r="K85" s="15" t="inlineStr">
        <is>
          <t>PRS-03</t>
        </is>
      </c>
      <c r="L85" s="15" t="inlineStr">
        <is>
          <t>Pass</t>
        </is>
      </c>
      <c r="M85" s="20" t="inlineStr">
        <is>
          <t>Not run</t>
        </is>
      </c>
      <c r="N85" s="20" t="inlineStr"/>
      <c r="O85" s="20" t="inlineStr"/>
      <c r="P85" s="21" t="inlineStr"/>
      <c r="Q85" s="20" t="inlineStr"/>
    </row>
    <row r="86">
      <c r="A86" s="17" t="inlineStr">
        <is>
          <t>TC-PRS-04</t>
        </is>
      </c>
      <c r="B86" s="15" t="inlineStr">
        <is>
          <t>Academic presence</t>
        </is>
      </c>
      <c r="C86" s="19" t="inlineStr">
        <is>
          <t>Students on campus per hour</t>
        </is>
      </c>
      <c r="D86" s="15" t="inlineStr">
        <is>
          <t>HR Manager</t>
        </is>
      </c>
      <c r="E86" s="19" t="inlineStr">
        <is>
          <t>Attendance recorded.</t>
        </is>
      </c>
      <c r="F86" s="19" t="inlineStr">
        <is>
          <t>Open Students on Campus for a teaching day.</t>
        </is>
      </c>
      <c r="G86" s="19" t="inlineStr">
        <is>
          <t>8 Sep 2026</t>
        </is>
      </c>
      <c r="H86" s="19" t="inlineStr">
        <is>
          <t>Hourly table: expected, present, absent, not recorded. Totals match attendance.</t>
        </is>
      </c>
      <c r="I86" s="15" t="inlineStr">
        <is>
          <t>High</t>
        </is>
      </c>
      <c r="J86" s="15" t="inlineStr">
        <is>
          <t>Functional</t>
        </is>
      </c>
      <c r="K86" s="15" t="inlineStr">
        <is>
          <t>PRS-04</t>
        </is>
      </c>
      <c r="L86" s="15" t="inlineStr">
        <is>
          <t>Pass</t>
        </is>
      </c>
      <c r="M86" s="20" t="inlineStr">
        <is>
          <t>Not run</t>
        </is>
      </c>
      <c r="N86" s="20" t="inlineStr"/>
      <c r="O86" s="20" t="inlineStr"/>
      <c r="P86" s="21" t="inlineStr"/>
      <c r="Q86" s="20" t="inlineStr"/>
    </row>
    <row r="87">
      <c r="A87" s="17" t="inlineStr">
        <is>
          <t>TC-PRS-05</t>
        </is>
      </c>
      <c r="B87" s="15" t="inlineStr">
        <is>
          <t>Academic presence</t>
        </is>
      </c>
      <c r="C87" s="19" t="inlineStr">
        <is>
          <t>Faculty after 4 PM</t>
        </is>
      </c>
      <c r="D87" s="15" t="inlineStr">
        <is>
          <t>HR Manager</t>
        </is>
      </c>
      <c r="E87" s="19" t="inlineStr">
        <is>
          <t>—</t>
        </is>
      </c>
      <c r="F87" s="19" t="inlineStr">
        <is>
          <t>Open Faculty After 4 PM for a week.</t>
        </is>
      </c>
      <c r="G87" s="19" t="inlineStr">
        <is>
          <t>—</t>
        </is>
      </c>
      <c r="H87" s="19" t="inlineStr">
        <is>
          <t>People on campus after 16:00 with evidence (device / attendance / timetable).</t>
        </is>
      </c>
      <c r="I87" s="15" t="inlineStr">
        <is>
          <t>High</t>
        </is>
      </c>
      <c r="J87" s="15" t="inlineStr">
        <is>
          <t>Functional</t>
        </is>
      </c>
      <c r="K87" s="15" t="inlineStr">
        <is>
          <t>PRS-05</t>
        </is>
      </c>
      <c r="L87" s="15" t="inlineStr">
        <is>
          <t>Pass</t>
        </is>
      </c>
      <c r="M87" s="20" t="inlineStr">
        <is>
          <t>Not run</t>
        </is>
      </c>
      <c r="N87" s="20" t="inlineStr"/>
      <c r="O87" s="20" t="inlineStr"/>
      <c r="P87" s="21" t="inlineStr"/>
      <c r="Q87" s="20" t="inlineStr"/>
    </row>
    <row r="88">
      <c r="A88" s="17" t="inlineStr">
        <is>
          <t>TC-PRS-06</t>
        </is>
      </c>
      <c r="B88" s="15" t="inlineStr">
        <is>
          <t>Academic presence</t>
        </is>
      </c>
      <c r="C88" s="19" t="inlineStr">
        <is>
          <t>Export</t>
        </is>
      </c>
      <c r="D88" s="15" t="inlineStr">
        <is>
          <t>HR Manager</t>
        </is>
      </c>
      <c r="E88" s="19" t="inlineStr">
        <is>
          <t>A tab with data.</t>
        </is>
      </c>
      <c r="F88" s="19" t="inlineStr">
        <is>
          <t>Click Export (Excel CSV).</t>
        </is>
      </c>
      <c r="G88" s="19" t="inlineStr">
        <is>
          <t>—</t>
        </is>
      </c>
      <c r="H88" s="19" t="inlineStr">
        <is>
          <t>A CSV file downloads and opens in Excel with the same rows.</t>
        </is>
      </c>
      <c r="I88" s="15" t="inlineStr">
        <is>
          <t>Medium</t>
        </is>
      </c>
      <c r="J88" s="15" t="inlineStr">
        <is>
          <t>Functional</t>
        </is>
      </c>
      <c r="K88" s="15" t="inlineStr">
        <is>
          <t>PRS-06</t>
        </is>
      </c>
      <c r="L88" s="15" t="inlineStr">
        <is>
          <t>Pass</t>
        </is>
      </c>
      <c r="M88" s="20" t="inlineStr">
        <is>
          <t>Not run</t>
        </is>
      </c>
      <c r="N88" s="20" t="inlineStr"/>
      <c r="O88" s="20" t="inlineStr"/>
      <c r="P88" s="21" t="inlineStr"/>
      <c r="Q88" s="20" t="inlineStr"/>
    </row>
    <row r="89">
      <c r="A89" s="17" t="inlineStr">
        <is>
          <t>TC-PRS-07</t>
        </is>
      </c>
      <c r="B89" s="15" t="inlineStr">
        <is>
          <t>Academic presence</t>
        </is>
      </c>
      <c r="C89" s="19" t="inlineStr">
        <is>
          <t>Holiday and exam days</t>
        </is>
      </c>
      <c r="D89" s="15" t="inlineStr">
        <is>
          <t>HR Manager</t>
        </is>
      </c>
      <c r="E89" s="19" t="inlineStr">
        <is>
          <t>Academic Holiday List set; an exam period in the academic calendar.</t>
        </is>
      </c>
      <c r="F89" s="19" t="inlineStr">
        <is>
          <t>Open Faculty Schedules over a holiday or exam week.</t>
        </is>
      </c>
      <c r="G89" s="19" t="inlineStr">
        <is>
          <t>—</t>
        </is>
      </c>
      <c r="H89" s="19" t="inlineStr">
        <is>
          <t>No regular sessions on those days; the skipped dates are listed.</t>
        </is>
      </c>
      <c r="I89" s="15" t="inlineStr">
        <is>
          <t>Medium</t>
        </is>
      </c>
      <c r="J89" s="15" t="inlineStr">
        <is>
          <t>Functional</t>
        </is>
      </c>
      <c r="K89" s="15" t="inlineStr">
        <is>
          <t>unit/manual</t>
        </is>
      </c>
      <c r="L89" s="15" t="inlineStr">
        <is>
          <t>Unit test</t>
        </is>
      </c>
      <c r="M89" s="20" t="inlineStr">
        <is>
          <t>Not run</t>
        </is>
      </c>
      <c r="N89" s="20" t="inlineStr"/>
      <c r="O89" s="20" t="inlineStr"/>
      <c r="P89" s="21" t="inlineStr"/>
      <c r="Q89" s="20" t="inlineStr"/>
    </row>
    <row r="90">
      <c r="A90" s="17" t="inlineStr">
        <is>
          <t>TC-PRS-08</t>
        </is>
      </c>
      <c r="B90" s="15" t="inlineStr">
        <is>
          <t>Academic presence</t>
        </is>
      </c>
      <c r="C90" s="19" t="inlineStr">
        <is>
          <t>Cut-off time setting</t>
        </is>
      </c>
      <c r="D90" s="15" t="inlineStr">
        <is>
          <t>HR Manager</t>
        </is>
      </c>
      <c r="E90" s="19" t="inlineStr">
        <is>
          <t>—</t>
        </is>
      </c>
      <c r="F90" s="19" t="inlineStr">
        <is>
          <t>HR Settings -&gt; Faculty After-hours Cut-off = 15:00; reopen Faculty After 4 PM.</t>
        </is>
      </c>
      <c r="G90" s="19" t="inlineStr">
        <is>
          <t>15:00</t>
        </is>
      </c>
      <c r="H90" s="19" t="inlineStr">
        <is>
          <t>List uses the new time.</t>
        </is>
      </c>
      <c r="I90" s="15" t="inlineStr">
        <is>
          <t>Low</t>
        </is>
      </c>
      <c r="J90" s="15" t="inlineStr">
        <is>
          <t>Functional</t>
        </is>
      </c>
      <c r="K90" s="15" t="inlineStr">
        <is>
          <t>—</t>
        </is>
      </c>
      <c r="L90" s="15" t="inlineStr">
        <is>
          <t>Manual only</t>
        </is>
      </c>
      <c r="M90" s="20" t="inlineStr">
        <is>
          <t>Not run</t>
        </is>
      </c>
      <c r="N90" s="20" t="inlineStr"/>
      <c r="O90" s="20" t="inlineStr"/>
      <c r="P90" s="21" t="inlineStr"/>
      <c r="Q90" s="20" t="inlineStr"/>
    </row>
    <row r="91">
      <c r="A91" s="17" t="inlineStr">
        <is>
          <t>TC-JM-01</t>
        </is>
      </c>
      <c r="B91" s="15" t="inlineStr">
        <is>
          <t>Jameah (Ministry)</t>
        </is>
      </c>
      <c r="C91" s="19" t="inlineStr">
        <is>
          <t>Jameah Data Check page</t>
        </is>
      </c>
      <c r="D91" s="15" t="inlineStr">
        <is>
          <t>HR Manager</t>
        </is>
      </c>
      <c r="E91" s="19" t="inlineStr">
        <is>
          <t>—</t>
        </is>
      </c>
      <c r="F91" s="19" t="inlineStr">
        <is>
          <t>HR Dashboard -&gt; Jameah Data Check.</t>
        </is>
      </c>
      <c r="G91" s="19" t="inlineStr">
        <is>
          <t>—</t>
        </is>
      </c>
      <c r="H91" s="19" t="inlineStr">
        <is>
          <t>Cards show 0 invalid Ministry codes; table lists 15 views with row counts; settings to fill and values to review are listed.</t>
        </is>
      </c>
      <c r="I91" s="15" t="inlineStr">
        <is>
          <t>Critical</t>
        </is>
      </c>
      <c r="J91" s="15" t="inlineStr">
        <is>
          <t>Functional</t>
        </is>
      </c>
      <c r="K91" s="15" t="inlineStr">
        <is>
          <t>JM-01</t>
        </is>
      </c>
      <c r="L91" s="15" t="inlineStr">
        <is>
          <t>Pass</t>
        </is>
      </c>
      <c r="M91" s="20" t="inlineStr">
        <is>
          <t>Not run</t>
        </is>
      </c>
      <c r="N91" s="20" t="inlineStr"/>
      <c r="O91" s="20" t="inlineStr"/>
      <c r="P91" s="21" t="inlineStr"/>
      <c r="Q91" s="20" t="inlineStr"/>
    </row>
    <row r="92">
      <c r="A92" s="17" t="inlineStr">
        <is>
          <t>TC-JM-02</t>
        </is>
      </c>
      <c r="B92" s="15" t="inlineStr">
        <is>
          <t>Jameah (Ministry)</t>
        </is>
      </c>
      <c r="C92" s="19" t="inlineStr">
        <is>
          <t>Jameah Settings pickers</t>
        </is>
      </c>
      <c r="D92" s="15" t="inlineStr">
        <is>
          <t>Academic Affairs / Education Manager</t>
        </is>
      </c>
      <c r="E92" s="19" t="inlineStr">
        <is>
          <t>—</t>
        </is>
      </c>
      <c r="F92" s="19" t="inlineStr">
        <is>
          <t>Open Jameah Settings; open the College picker.</t>
        </is>
      </c>
      <c r="G92" s="19" t="inlineStr">
        <is>
          <t>—</t>
        </is>
      </c>
      <c r="H92" s="19" t="inlineStr">
        <is>
          <t>Only College Coding Guide codes are offered.</t>
        </is>
      </c>
      <c r="I92" s="15" t="inlineStr">
        <is>
          <t>High</t>
        </is>
      </c>
      <c r="J92" s="15" t="inlineStr">
        <is>
          <t>Functional</t>
        </is>
      </c>
      <c r="K92" s="15" t="inlineStr">
        <is>
          <t>JM-02</t>
        </is>
      </c>
      <c r="L92" s="15" t="inlineStr">
        <is>
          <t>Pass</t>
        </is>
      </c>
      <c r="M92" s="20" t="inlineStr">
        <is>
          <t>Not run</t>
        </is>
      </c>
      <c r="N92" s="20" t="inlineStr"/>
      <c r="O92" s="20" t="inlineStr"/>
      <c r="P92" s="21" t="inlineStr"/>
      <c r="Q92" s="20" t="inlineStr"/>
    </row>
    <row r="93">
      <c r="A93" s="17" t="inlineStr">
        <is>
          <t>TC-JM-03</t>
        </is>
      </c>
      <c r="B93" s="15" t="inlineStr">
        <is>
          <t>Jameah (Ministry)</t>
        </is>
      </c>
      <c r="C93" s="19" t="inlineStr">
        <is>
          <t>Fill a setting and see it in the views</t>
        </is>
      </c>
      <c r="D93" s="15" t="inlineStr">
        <is>
          <t>Academic Affairs / Education Manager</t>
        </is>
      </c>
      <c r="E93" s="19" t="inlineStr">
        <is>
          <t>Decision on the college code (DEC-02).</t>
        </is>
      </c>
      <c r="F93" s="19" t="inlineStr">
        <is>
          <t>Set College; Save; reopen Jameah Data Check.</t>
        </is>
      </c>
      <c r="G93" s="19" t="inlineStr">
        <is>
          <t>College code</t>
        </is>
      </c>
      <c r="H93" s="19" t="inlineStr">
        <is>
          <t>The AdmissionCollegeId / CurrentCollegeId gap disappears.</t>
        </is>
      </c>
      <c r="I93" s="15" t="inlineStr">
        <is>
          <t>High</t>
        </is>
      </c>
      <c r="J93" s="15" t="inlineStr">
        <is>
          <t>Functional</t>
        </is>
      </c>
      <c r="K93" s="15" t="inlineStr">
        <is>
          <t>—</t>
        </is>
      </c>
      <c r="L93" s="15" t="inlineStr">
        <is>
          <t>Manual only</t>
        </is>
      </c>
      <c r="M93" s="20" t="inlineStr">
        <is>
          <t>Not run</t>
        </is>
      </c>
      <c r="N93" s="20" t="inlineStr"/>
      <c r="O93" s="20" t="inlineStr"/>
      <c r="P93" s="21" t="inlineStr"/>
      <c r="Q93" s="20" t="inlineStr"/>
    </row>
    <row r="94">
      <c r="A94" s="17" t="inlineStr">
        <is>
          <t>TC-JM-04</t>
        </is>
      </c>
      <c r="B94" s="15" t="inlineStr">
        <is>
          <t>Jameah (Ministry)</t>
        </is>
      </c>
      <c r="C94" s="19" t="inlineStr">
        <is>
          <t>Map a value in the Code Map</t>
        </is>
      </c>
      <c r="D94" s="15" t="inlineStr">
        <is>
          <t>Academic Affairs / Education Manager</t>
        </is>
      </c>
      <c r="E94" s="19" t="inlineStr">
        <is>
          <t>A 'Needs Review' row.</t>
        </is>
      </c>
      <c r="F94" s="19" t="inlineStr">
        <is>
          <t>Open it, pick the Ministry code, Status = Verified, Save.</t>
        </is>
      </c>
      <c r="G94" s="19" t="inlineStr">
        <is>
          <t>e.g. Internship -&gt; 0</t>
        </is>
      </c>
      <c r="H94" s="19" t="inlineStr">
        <is>
          <t>Saved; 'Matched By' becomes Manual; the Data Check gap shrinks.</t>
        </is>
      </c>
      <c r="I94" s="15" t="inlineStr">
        <is>
          <t>High</t>
        </is>
      </c>
      <c r="J94" s="15" t="inlineStr">
        <is>
          <t>Functional</t>
        </is>
      </c>
      <c r="K94" s="15" t="inlineStr">
        <is>
          <t>JM-03</t>
        </is>
      </c>
      <c r="L94" s="15" t="inlineStr">
        <is>
          <t>Pass</t>
        </is>
      </c>
      <c r="M94" s="20" t="inlineStr">
        <is>
          <t>Not run</t>
        </is>
      </c>
      <c r="N94" s="20" t="inlineStr"/>
      <c r="O94" s="20" t="inlineStr"/>
      <c r="P94" s="21" t="inlineStr"/>
      <c r="Q94" s="20" t="inlineStr"/>
    </row>
    <row r="95">
      <c r="A95" s="17" t="inlineStr">
        <is>
          <t>TC-JM-05</t>
        </is>
      </c>
      <c r="B95" s="15" t="inlineStr">
        <is>
          <t>Jameah (Ministry)</t>
        </is>
      </c>
      <c r="C95" s="19" t="inlineStr">
        <is>
          <t>Code Map refuses a code from another list</t>
        </is>
      </c>
      <c r="D95" s="15" t="inlineStr">
        <is>
          <t>Academic Affairs / Education Manager</t>
        </is>
      </c>
      <c r="E95" s="19" t="inlineStr">
        <is>
          <t>—</t>
        </is>
      </c>
      <c r="F95" s="19" t="inlineStr">
        <is>
          <t>Try to save a Religion row with a Gender code.</t>
        </is>
      </c>
      <c r="G95" s="19" t="inlineStr">
        <is>
          <t>—</t>
        </is>
      </c>
      <c r="H95" s="19" t="inlineStr">
        <is>
          <t>Refused with a clear message.</t>
        </is>
      </c>
      <c r="I95" s="15" t="inlineStr">
        <is>
          <t>Medium</t>
        </is>
      </c>
      <c r="J95" s="15" t="inlineStr">
        <is>
          <t>Negative</t>
        </is>
      </c>
      <c r="K95" s="15" t="inlineStr">
        <is>
          <t>unit test</t>
        </is>
      </c>
      <c r="L95" s="15" t="inlineStr">
        <is>
          <t>Unit test</t>
        </is>
      </c>
      <c r="M95" s="20" t="inlineStr">
        <is>
          <t>Not run</t>
        </is>
      </c>
      <c r="N95" s="20" t="inlineStr"/>
      <c r="O95" s="20" t="inlineStr"/>
      <c r="P95" s="21" t="inlineStr"/>
      <c r="Q95" s="20" t="inlineStr"/>
    </row>
    <row r="96">
      <c r="A96" s="17" t="inlineStr">
        <is>
          <t>TC-JM-06</t>
        </is>
      </c>
      <c r="B96" s="15" t="inlineStr">
        <is>
          <t>Jameah (Ministry)</t>
        </is>
      </c>
      <c r="C96" s="19" t="inlineStr">
        <is>
          <t>Refresh academic figures</t>
        </is>
      </c>
      <c r="D96" s="15" t="inlineStr">
        <is>
          <t>HR Manager</t>
        </is>
      </c>
      <c r="E96" s="19" t="inlineStr">
        <is>
          <t>—</t>
        </is>
      </c>
      <c r="F96" s="19" t="inlineStr">
        <is>
          <t>Jameah Data Check -&gt; Refresh Academic Figures; wait a minute; Refresh.</t>
        </is>
      </c>
      <c r="G96" s="19" t="inlineStr">
        <is>
          <t>—</t>
        </is>
      </c>
      <c r="H96" s="19" t="inlineStr">
        <is>
          <t>'Last refreshed' time updates.</t>
        </is>
      </c>
      <c r="I96" s="15" t="inlineStr">
        <is>
          <t>Medium</t>
        </is>
      </c>
      <c r="J96" s="15" t="inlineStr">
        <is>
          <t>Functional</t>
        </is>
      </c>
      <c r="K96" s="15" t="inlineStr">
        <is>
          <t>—</t>
        </is>
      </c>
      <c r="L96" s="15" t="inlineStr">
        <is>
          <t>Manual only</t>
        </is>
      </c>
      <c r="M96" s="20" t="inlineStr">
        <is>
          <t>Not run</t>
        </is>
      </c>
      <c r="N96" s="20" t="inlineStr"/>
      <c r="O96" s="20" t="inlineStr"/>
      <c r="P96" s="21" t="inlineStr"/>
      <c r="Q96" s="20" t="inlineStr"/>
    </row>
    <row r="97">
      <c r="A97" s="17" t="inlineStr">
        <is>
          <t>TC-JM-07</t>
        </is>
      </c>
      <c r="B97" s="15" t="inlineStr">
        <is>
          <t>Jameah (Ministry)</t>
        </is>
      </c>
      <c r="C97" s="19" t="inlineStr">
        <is>
          <t>Employee data reaches the Employee views</t>
        </is>
      </c>
      <c r="D97" s="15" t="inlineStr">
        <is>
          <t>HR Manager</t>
        </is>
      </c>
      <c r="E97" s="19" t="inlineStr">
        <is>
          <t>A non-teaching employee of Al Riyada College with Ministry fields filled.</t>
        </is>
      </c>
      <c r="F97" s="19" t="inlineStr">
        <is>
          <t>Open their Ministry (Jameah) Data preview.</t>
        </is>
      </c>
      <c r="G97" s="19" t="inlineStr">
        <is>
          <t>—</t>
        </is>
      </c>
      <c r="H97" s="19" t="inlineStr">
        <is>
          <t>Codes match the form (e.g. Nationality 101, Identity Type 01); phones are digits only.</t>
        </is>
      </c>
      <c r="I97" s="15" t="inlineStr">
        <is>
          <t>Critical</t>
        </is>
      </c>
      <c r="J97" s="15" t="inlineStr">
        <is>
          <t>Functional</t>
        </is>
      </c>
      <c r="K97" s="15" t="inlineStr">
        <is>
          <t>REC-06</t>
        </is>
      </c>
      <c r="L97" s="15" t="inlineStr">
        <is>
          <t>Pass</t>
        </is>
      </c>
      <c r="M97" s="20" t="inlineStr">
        <is>
          <t>Not run</t>
        </is>
      </c>
      <c r="N97" s="20" t="inlineStr"/>
      <c r="O97" s="20" t="inlineStr"/>
      <c r="P97" s="21" t="inlineStr"/>
      <c r="Q97" s="20" t="inlineStr"/>
    </row>
    <row r="98">
      <c r="A98" s="17" t="inlineStr">
        <is>
          <t>TC-JM-10</t>
        </is>
      </c>
      <c r="B98" s="15" t="inlineStr">
        <is>
          <t>Jameah (Ministry)</t>
        </is>
      </c>
      <c r="C98" s="19" t="inlineStr">
        <is>
          <t>Ministry GPA and hours equal the student's transcript</t>
        </is>
      </c>
      <c r="D98" s="15" t="inlineStr">
        <is>
          <t>Academic Affairs / Education Manager</t>
        </is>
      </c>
      <c r="E98" s="19" t="inlineStr">
        <is>
          <t>Academic figures refreshed (TC-JM-06).</t>
        </is>
      </c>
      <c r="F98" s="19" t="inlineStr">
        <is>
          <t>Pick 10 students (include a student who retook a failed course). Compare GPA, Required, Passed and Remaining hours in the Ministry data with the student's My Transcript page.</t>
        </is>
      </c>
      <c r="G98" s="19" t="inlineStr">
        <is>
          <t>10 students</t>
        </is>
      </c>
      <c r="H98" s="19" t="inlineStr">
        <is>
          <t>All four figures are identical for every student.</t>
        </is>
      </c>
      <c r="I98" s="15" t="inlineStr">
        <is>
          <t>Critical</t>
        </is>
      </c>
      <c r="J98" s="15" t="inlineStr">
        <is>
          <t>Data</t>
        </is>
      </c>
      <c r="K98" s="15" t="inlineStr">
        <is>
          <t>verify.run</t>
        </is>
      </c>
      <c r="L98" s="15" t="inlineStr">
        <is>
          <t>Pass</t>
        </is>
      </c>
      <c r="M98" s="20" t="inlineStr">
        <is>
          <t>Not run</t>
        </is>
      </c>
      <c r="N98" s="20" t="inlineStr"/>
      <c r="O98" s="20" t="inlineStr"/>
      <c r="P98" s="21" t="inlineStr"/>
      <c r="Q98" s="20" t="inlineStr"/>
    </row>
    <row r="99">
      <c r="A99" s="17" t="inlineStr">
        <is>
          <t>TC-JM-08</t>
        </is>
      </c>
      <c r="B99" s="15" t="inlineStr">
        <is>
          <t>Jameah (Ministry)</t>
        </is>
      </c>
      <c r="C99" s="19" t="inlineStr">
        <is>
          <t>Full value-by-value check (developer)</t>
        </is>
      </c>
      <c r="D99" s="15" t="inlineStr">
        <is>
          <t>Developer</t>
        </is>
      </c>
      <c r="E99" s="19" t="inlineStr">
        <is>
          <t>Server access.</t>
        </is>
      </c>
      <c r="F99" s="19" t="inlineStr">
        <is>
          <t>Run: bench --site &lt;site&gt; execute medical_hrms.jameah.verify.run</t>
        </is>
      </c>
      <c r="G99" s="19" t="inlineStr">
        <is>
          <t>—</t>
        </is>
      </c>
      <c r="H99" s="19" t="inlineStr">
        <is>
          <t>Every view prints OK (0 missing, 0 extra, 0 mismatched, 0 invalid codes).</t>
        </is>
      </c>
      <c r="I99" s="15" t="inlineStr">
        <is>
          <t>Critical</t>
        </is>
      </c>
      <c r="J99" s="15" t="inlineStr">
        <is>
          <t>Data</t>
        </is>
      </c>
      <c r="K99" s="15" t="inlineStr">
        <is>
          <t>verify.run</t>
        </is>
      </c>
      <c r="L99" s="15" t="inlineStr">
        <is>
          <t>Pass</t>
        </is>
      </c>
      <c r="M99" s="20" t="inlineStr">
        <is>
          <t>Not run</t>
        </is>
      </c>
      <c r="N99" s="20" t="inlineStr"/>
      <c r="O99" s="20" t="inlineStr"/>
      <c r="P99" s="21" t="inlineStr"/>
      <c r="Q99" s="20" t="inlineStr"/>
    </row>
    <row r="100">
      <c r="A100" s="17" t="inlineStr">
        <is>
          <t>TC-JM-09</t>
        </is>
      </c>
      <c r="B100" s="15" t="inlineStr">
        <is>
          <t>Jameah (Ministry)</t>
        </is>
      </c>
      <c r="C100" s="19" t="inlineStr">
        <is>
          <t>Ministry read-only account</t>
        </is>
      </c>
      <c r="D100" s="15" t="inlineStr">
        <is>
          <t>Server admin</t>
        </is>
      </c>
      <c r="E100" s="19" t="inlineStr">
        <is>
          <t>Account created with the grant statements.</t>
        </is>
      </c>
      <c r="F100" s="19" t="inlineStr">
        <is>
          <t>Connect with that account; SELECT from a jameah view; try SELECT from tabEmployee.</t>
        </is>
      </c>
      <c r="G100" s="19" t="inlineStr">
        <is>
          <t>—</t>
        </is>
      </c>
      <c r="H100" s="19" t="inlineStr">
        <is>
          <t>Views readable; ERP tables refused.</t>
        </is>
      </c>
      <c r="I100" s="15" t="inlineStr">
        <is>
          <t>High</t>
        </is>
      </c>
      <c r="J100" s="15" t="inlineStr">
        <is>
          <t>Security</t>
        </is>
      </c>
      <c r="K100" s="15" t="inlineStr">
        <is>
          <t>—</t>
        </is>
      </c>
      <c r="L100" s="15" t="inlineStr">
        <is>
          <t>Manual only</t>
        </is>
      </c>
      <c r="M100" s="20" t="inlineStr">
        <is>
          <t>Not run</t>
        </is>
      </c>
      <c r="N100" s="20" t="inlineStr"/>
      <c r="O100" s="20" t="inlineStr"/>
      <c r="P100" s="21" t="inlineStr"/>
      <c r="Q100" s="20" t="inlineStr"/>
    </row>
    <row r="101">
      <c r="A101" s="17" t="inlineStr">
        <is>
          <t>TC-ERR-01</t>
        </is>
      </c>
      <c r="B101" s="15" t="inlineStr">
        <is>
          <t>Errors &amp; monitoring</t>
        </is>
      </c>
      <c r="C101" s="19" t="inlineStr">
        <is>
          <t>Error Log after each test day</t>
        </is>
      </c>
      <c r="D101" s="15" t="inlineStr">
        <is>
          <t>Administrator</t>
        </is>
      </c>
      <c r="E101" s="19" t="inlineStr">
        <is>
          <t>—</t>
        </is>
      </c>
      <c r="F101" s="19" t="inlineStr">
        <is>
          <t>Open /app/error-log; sort by newest.</t>
        </is>
      </c>
      <c r="G101" s="19" t="inlineStr">
        <is>
          <t>—</t>
        </is>
      </c>
      <c r="H101" s="19" t="inlineStr">
        <is>
          <t>No new errors. Note any error's time, title and the user who triggered it in the Bug Report sheet.</t>
        </is>
      </c>
      <c r="I101" s="15" t="inlineStr">
        <is>
          <t>Critical</t>
        </is>
      </c>
      <c r="J101" s="15" t="inlineStr">
        <is>
          <t>Monitoring</t>
        </is>
      </c>
      <c r="K101" s="15" t="inlineStr">
        <is>
          <t>—</t>
        </is>
      </c>
      <c r="L101" s="15" t="inlineStr">
        <is>
          <t>Manual only</t>
        </is>
      </c>
      <c r="M101" s="20" t="inlineStr">
        <is>
          <t>Not run</t>
        </is>
      </c>
      <c r="N101" s="20" t="inlineStr"/>
      <c r="O101" s="20" t="inlineStr"/>
      <c r="P101" s="21" t="inlineStr"/>
      <c r="Q101" s="20" t="inlineStr"/>
    </row>
    <row r="102">
      <c r="A102" s="17" t="inlineStr">
        <is>
          <t>TC-ERR-02</t>
        </is>
      </c>
      <c r="B102" s="15" t="inlineStr">
        <is>
          <t>Errors &amp; monitoring</t>
        </is>
      </c>
      <c r="C102" s="19" t="inlineStr">
        <is>
          <t>System e-mail works</t>
        </is>
      </c>
      <c r="D102" s="15" t="inlineStr">
        <is>
          <t>Administrator</t>
        </is>
      </c>
      <c r="E102" s="19" t="inlineStr">
        <is>
          <t>—</t>
        </is>
      </c>
      <c r="F102" s="19" t="inlineStr">
        <is>
          <t>Email Account 'Notifications' -&gt; send a test e-mail; then trigger a password reset for a test user.</t>
        </is>
      </c>
      <c r="G102" s="19" t="inlineStr">
        <is>
          <t>—</t>
        </is>
      </c>
      <c r="H102" s="19" t="inlineStr">
        <is>
          <t>E-mail arrives. No 'Failed to decrypt key' error in the Error Log.</t>
        </is>
      </c>
      <c r="I102" s="15" t="inlineStr">
        <is>
          <t>Critical</t>
        </is>
      </c>
      <c r="J102" s="15" t="inlineStr">
        <is>
          <t>Monitoring</t>
        </is>
      </c>
      <c r="K102" s="15" t="inlineStr">
        <is>
          <t>—</t>
        </is>
      </c>
      <c r="L102" s="15" t="inlineStr">
        <is>
          <t>Manual only</t>
        </is>
      </c>
      <c r="M102" s="20" t="inlineStr">
        <is>
          <t>Not run</t>
        </is>
      </c>
      <c r="N102" s="20" t="inlineStr"/>
      <c r="O102" s="20" t="inlineStr"/>
      <c r="P102" s="21" t="inlineStr"/>
      <c r="Q102" s="20" t="inlineStr"/>
    </row>
    <row r="103">
      <c r="A103" s="17" t="inlineStr">
        <is>
          <t>TC-ERR-03</t>
        </is>
      </c>
      <c r="B103" s="15" t="inlineStr">
        <is>
          <t>Errors &amp; monitoring</t>
        </is>
      </c>
      <c r="C103" s="19" t="inlineStr">
        <is>
          <t>Background jobs</t>
        </is>
      </c>
      <c r="D103" s="15" t="inlineStr">
        <is>
          <t>Administrator</t>
        </is>
      </c>
      <c r="E103" s="19" t="inlineStr">
        <is>
          <t>—</t>
        </is>
      </c>
      <c r="F103" s="19" t="inlineStr">
        <is>
          <t>Open Scheduled Job Log; filter Status = Failed.</t>
        </is>
      </c>
      <c r="G103" s="19" t="inlineStr">
        <is>
          <t>—</t>
        </is>
      </c>
      <c r="H103" s="19" t="inlineStr">
        <is>
          <t>No failed jobs (or each one reported).</t>
        </is>
      </c>
      <c r="I103" s="15" t="inlineStr">
        <is>
          <t>High</t>
        </is>
      </c>
      <c r="J103" s="15" t="inlineStr">
        <is>
          <t>Monitoring</t>
        </is>
      </c>
      <c r="K103" s="15" t="inlineStr">
        <is>
          <t>—</t>
        </is>
      </c>
      <c r="L103" s="15" t="inlineStr">
        <is>
          <t>Manual only</t>
        </is>
      </c>
      <c r="M103" s="20" t="inlineStr">
        <is>
          <t>Not run</t>
        </is>
      </c>
      <c r="N103" s="20" t="inlineStr"/>
      <c r="O103" s="20" t="inlineStr"/>
      <c r="P103" s="21" t="inlineStr"/>
      <c r="Q103" s="20" t="inlineStr"/>
    </row>
    <row r="104">
      <c r="A104" s="17" t="inlineStr">
        <is>
          <t>TC-ERR-04</t>
        </is>
      </c>
      <c r="B104" s="15" t="inlineStr">
        <is>
          <t>Errors &amp; monitoring</t>
        </is>
      </c>
      <c r="C104" s="19" t="inlineStr">
        <is>
          <t>Browser console during testing</t>
        </is>
      </c>
      <c r="D104" s="15" t="inlineStr">
        <is>
          <t>Any</t>
        </is>
      </c>
      <c r="E104" s="19" t="inlineStr">
        <is>
          <t>Chrome DevTools open (F12 -&gt; Console).</t>
        </is>
      </c>
      <c r="F104" s="19" t="inlineStr">
        <is>
          <t>Use the system as normal while the console is open.</t>
        </is>
      </c>
      <c r="G104" s="19" t="inlineStr">
        <is>
          <t>—</t>
        </is>
      </c>
      <c r="H104" s="19" t="inlineStr">
        <is>
          <t>No red errors. If one appears, screenshot the console and record the time and page.</t>
        </is>
      </c>
      <c r="I104" s="15" t="inlineStr">
        <is>
          <t>Medium</t>
        </is>
      </c>
      <c r="J104" s="15" t="inlineStr">
        <is>
          <t>Monitoring</t>
        </is>
      </c>
      <c r="K104" s="15" t="inlineStr">
        <is>
          <t>Error sweep SWP-01..04</t>
        </is>
      </c>
      <c r="L104" s="15" t="inlineStr">
        <is>
          <t>Pass</t>
        </is>
      </c>
      <c r="M104" s="20" t="inlineStr">
        <is>
          <t>Not run</t>
        </is>
      </c>
      <c r="N104" s="20" t="inlineStr"/>
      <c r="O104" s="20" t="inlineStr"/>
      <c r="P104" s="21" t="inlineStr"/>
      <c r="Q104" s="20" t="inlineStr"/>
    </row>
  </sheetData>
  <autoFilter ref="A1:Q104"/>
  <conditionalFormatting sqref="M2:M304">
    <cfRule type="expression" priority="1" dxfId="0">
      <formula>$M2="Not run"</formula>
    </cfRule>
    <cfRule type="expression" priority="3" dxfId="1">
      <formula>$M2="Pass"</formula>
    </cfRule>
    <cfRule type="expression" priority="5" dxfId="2">
      <formula>$M2="Fail"</formula>
    </cfRule>
    <cfRule type="expression" priority="7" dxfId="3">
      <formula>$M2="Blocked"</formula>
    </cfRule>
    <cfRule type="expression" priority="9" dxfId="4">
      <formula>$M2="N/A"</formula>
    </cfRule>
  </conditionalFormatting>
  <conditionalFormatting sqref="L2:L304">
    <cfRule type="expression" priority="2" dxfId="0">
      <formula>$L2="Not run"</formula>
    </cfRule>
    <cfRule type="expression" priority="4" dxfId="1">
      <formula>$L2="Pass"</formula>
    </cfRule>
    <cfRule type="expression" priority="6" dxfId="2">
      <formula>$L2="Fail"</formula>
    </cfRule>
    <cfRule type="expression" priority="8" dxfId="3">
      <formula>$L2="Blocked"</formula>
    </cfRule>
    <cfRule type="expression" priority="10" dxfId="4">
      <formula>$L2="N/A"</formula>
    </cfRule>
  </conditionalFormatting>
  <dataValidations count="1">
    <dataValidation sqref="M2:M304" showDropDown="0" showInputMessage="0" showErrorMessage="0" allowBlank="1" type="list">
      <formula1>"Not run,Pass,Fail,Blocked,N/A"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24" customWidth="1" min="3" max="3"/>
    <col width="14" customWidth="1" min="4" max="4"/>
    <col width="34" customWidth="1" min="5" max="5"/>
    <col width="44" customWidth="1" min="6" max="6"/>
    <col width="44" customWidth="1" min="7" max="7"/>
    <col width="22" customWidth="1" min="8" max="8"/>
    <col width="18" customWidth="1" min="9" max="9"/>
    <col width="11" customWidth="1" min="10" max="10"/>
    <col width="11" customWidth="1" min="11" max="11"/>
    <col width="12" customWidth="1" min="12" max="12"/>
    <col width="34" customWidth="1" min="13" max="13"/>
  </cols>
  <sheetData>
    <row r="1" ht="32" customHeight="1">
      <c r="A1" s="14" t="inlineStr">
        <is>
          <t>Bug ID</t>
        </is>
      </c>
      <c r="B1" s="14" t="inlineStr">
        <is>
          <t>Date &amp; time seen</t>
        </is>
      </c>
      <c r="C1" s="14" t="inlineStr">
        <is>
          <t>Login (user)</t>
        </is>
      </c>
      <c r="D1" s="14" t="inlineStr">
        <is>
          <t>Role</t>
        </is>
      </c>
      <c r="E1" s="14" t="inlineStr">
        <is>
          <t>Page address (URL)</t>
        </is>
      </c>
      <c r="F1" s="14" t="inlineStr">
        <is>
          <t>What you were doing (steps)</t>
        </is>
      </c>
      <c r="G1" s="14" t="inlineStr">
        <is>
          <t>Exact error message</t>
        </is>
      </c>
      <c r="H1" s="14" t="inlineStr">
        <is>
          <t>Screenshot file name</t>
        </is>
      </c>
      <c r="I1" s="14" t="inlineStr">
        <is>
          <t>Browser / device</t>
        </is>
      </c>
      <c r="J1" s="14" t="inlineStr">
        <is>
          <t>Severity</t>
        </is>
      </c>
      <c r="K1" s="14" t="inlineStr">
        <is>
          <t>TC ID</t>
        </is>
      </c>
      <c r="L1" s="14" t="inlineStr">
        <is>
          <t>Status</t>
        </is>
      </c>
      <c r="M1" s="14" t="inlineStr">
        <is>
          <t>Developer notes</t>
        </is>
      </c>
    </row>
    <row r="2">
      <c r="A2" s="22" t="inlineStr">
        <is>
          <t>BUG-001</t>
        </is>
      </c>
      <c r="B2" s="22" t="inlineStr">
        <is>
          <t>2026-10-22 10:35</t>
        </is>
      </c>
      <c r="C2" s="22" t="inlineStr">
        <is>
          <t>hr.user@alriyada.edu.sa</t>
        </is>
      </c>
      <c r="D2" s="22" t="inlineStr">
        <is>
          <t>HR User</t>
        </is>
      </c>
      <c r="E2" s="23" t="inlineStr">
        <is>
          <t>https://&lt;site&gt;/app/leave-application/HR-LAP-2026-00012</t>
        </is>
      </c>
      <c r="F2" s="23" t="inlineStr">
        <is>
          <t>Opened the leave, set Status to Approved, clicked Save</t>
        </is>
      </c>
      <c r="G2" s="23" t="inlineStr">
        <is>
          <t>Example: 'Insufficient Permission for Leave Application' (red pop-up)</t>
        </is>
      </c>
      <c r="H2" s="22" t="inlineStr">
        <is>
          <t>bug-001.png</t>
        </is>
      </c>
      <c r="I2" s="22" t="inlineStr">
        <is>
          <t>Chrome 130 / Windows</t>
        </is>
      </c>
      <c r="J2" s="22" t="inlineStr">
        <is>
          <t>High</t>
        </is>
      </c>
      <c r="K2" s="22" t="inlineStr">
        <is>
          <t>TC-LV-02</t>
        </is>
      </c>
      <c r="L2" s="22" t="inlineStr">
        <is>
          <t>Open</t>
        </is>
      </c>
      <c r="M2" s="23" t="inlineStr">
        <is>
          <t>Example row — replace with real reports</t>
        </is>
      </c>
    </row>
    <row r="3">
      <c r="A3" s="20" t="n"/>
      <c r="B3" s="20" t="n"/>
      <c r="C3" s="20" t="n"/>
      <c r="D3" s="20" t="n"/>
      <c r="E3" s="21" t="n"/>
      <c r="F3" s="21" t="n"/>
      <c r="G3" s="21" t="n"/>
      <c r="H3" s="20" t="n"/>
      <c r="I3" s="20" t="n"/>
      <c r="J3" s="20" t="n"/>
      <c r="K3" s="20" t="n"/>
      <c r="L3" s="20" t="n"/>
      <c r="M3" s="21" t="n"/>
    </row>
    <row r="4">
      <c r="A4" s="20" t="n"/>
      <c r="B4" s="20" t="n"/>
      <c r="C4" s="20" t="n"/>
      <c r="D4" s="20" t="n"/>
      <c r="E4" s="21" t="n"/>
      <c r="F4" s="21" t="n"/>
      <c r="G4" s="21" t="n"/>
      <c r="H4" s="20" t="n"/>
      <c r="I4" s="20" t="n"/>
      <c r="J4" s="20" t="n"/>
      <c r="K4" s="20" t="n"/>
      <c r="L4" s="20" t="n"/>
      <c r="M4" s="21" t="n"/>
    </row>
    <row r="5">
      <c r="A5" s="20" t="n"/>
      <c r="B5" s="20" t="n"/>
      <c r="C5" s="20" t="n"/>
      <c r="D5" s="20" t="n"/>
      <c r="E5" s="21" t="n"/>
      <c r="F5" s="21" t="n"/>
      <c r="G5" s="21" t="n"/>
      <c r="H5" s="20" t="n"/>
      <c r="I5" s="20" t="n"/>
      <c r="J5" s="20" t="n"/>
      <c r="K5" s="20" t="n"/>
      <c r="L5" s="20" t="n"/>
      <c r="M5" s="21" t="n"/>
    </row>
    <row r="6">
      <c r="A6" s="20" t="n"/>
      <c r="B6" s="20" t="n"/>
      <c r="C6" s="20" t="n"/>
      <c r="D6" s="20" t="n"/>
      <c r="E6" s="21" t="n"/>
      <c r="F6" s="21" t="n"/>
      <c r="G6" s="21" t="n"/>
      <c r="H6" s="20" t="n"/>
      <c r="I6" s="20" t="n"/>
      <c r="J6" s="20" t="n"/>
      <c r="K6" s="20" t="n"/>
      <c r="L6" s="20" t="n"/>
      <c r="M6" s="21" t="n"/>
    </row>
    <row r="7">
      <c r="A7" s="20" t="n"/>
      <c r="B7" s="20" t="n"/>
      <c r="C7" s="20" t="n"/>
      <c r="D7" s="20" t="n"/>
      <c r="E7" s="21" t="n"/>
      <c r="F7" s="21" t="n"/>
      <c r="G7" s="21" t="n"/>
      <c r="H7" s="20" t="n"/>
      <c r="I7" s="20" t="n"/>
      <c r="J7" s="20" t="n"/>
      <c r="K7" s="20" t="n"/>
      <c r="L7" s="20" t="n"/>
      <c r="M7" s="21" t="n"/>
    </row>
    <row r="8">
      <c r="A8" s="20" t="n"/>
      <c r="B8" s="20" t="n"/>
      <c r="C8" s="20" t="n"/>
      <c r="D8" s="20" t="n"/>
      <c r="E8" s="21" t="n"/>
      <c r="F8" s="21" t="n"/>
      <c r="G8" s="21" t="n"/>
      <c r="H8" s="20" t="n"/>
      <c r="I8" s="20" t="n"/>
      <c r="J8" s="20" t="n"/>
      <c r="K8" s="20" t="n"/>
      <c r="L8" s="20" t="n"/>
      <c r="M8" s="21" t="n"/>
    </row>
    <row r="9">
      <c r="A9" s="20" t="n"/>
      <c r="B9" s="20" t="n"/>
      <c r="C9" s="20" t="n"/>
      <c r="D9" s="20" t="n"/>
      <c r="E9" s="21" t="n"/>
      <c r="F9" s="21" t="n"/>
      <c r="G9" s="21" t="n"/>
      <c r="H9" s="20" t="n"/>
      <c r="I9" s="20" t="n"/>
      <c r="J9" s="20" t="n"/>
      <c r="K9" s="20" t="n"/>
      <c r="L9" s="20" t="n"/>
      <c r="M9" s="21" t="n"/>
    </row>
    <row r="10">
      <c r="A10" s="20" t="n"/>
      <c r="B10" s="20" t="n"/>
      <c r="C10" s="20" t="n"/>
      <c r="D10" s="20" t="n"/>
      <c r="E10" s="21" t="n"/>
      <c r="F10" s="21" t="n"/>
      <c r="G10" s="21" t="n"/>
      <c r="H10" s="20" t="n"/>
      <c r="I10" s="20" t="n"/>
      <c r="J10" s="20" t="n"/>
      <c r="K10" s="20" t="n"/>
      <c r="L10" s="20" t="n"/>
      <c r="M10" s="21" t="n"/>
    </row>
    <row r="11">
      <c r="A11" s="20" t="n"/>
      <c r="B11" s="20" t="n"/>
      <c r="C11" s="20" t="n"/>
      <c r="D11" s="20" t="n"/>
      <c r="E11" s="21" t="n"/>
      <c r="F11" s="21" t="n"/>
      <c r="G11" s="21" t="n"/>
      <c r="H11" s="20" t="n"/>
      <c r="I11" s="20" t="n"/>
      <c r="J11" s="20" t="n"/>
      <c r="K11" s="20" t="n"/>
      <c r="L11" s="20" t="n"/>
      <c r="M11" s="21" t="n"/>
    </row>
    <row r="12">
      <c r="A12" s="20" t="n"/>
      <c r="B12" s="20" t="n"/>
      <c r="C12" s="20" t="n"/>
      <c r="D12" s="20" t="n"/>
      <c r="E12" s="21" t="n"/>
      <c r="F12" s="21" t="n"/>
      <c r="G12" s="21" t="n"/>
      <c r="H12" s="20" t="n"/>
      <c r="I12" s="20" t="n"/>
      <c r="J12" s="20" t="n"/>
      <c r="K12" s="20" t="n"/>
      <c r="L12" s="20" t="n"/>
      <c r="M12" s="21" t="n"/>
    </row>
    <row r="13">
      <c r="A13" s="20" t="n"/>
      <c r="B13" s="20" t="n"/>
      <c r="C13" s="20" t="n"/>
      <c r="D13" s="20" t="n"/>
      <c r="E13" s="21" t="n"/>
      <c r="F13" s="21" t="n"/>
      <c r="G13" s="21" t="n"/>
      <c r="H13" s="20" t="n"/>
      <c r="I13" s="20" t="n"/>
      <c r="J13" s="20" t="n"/>
      <c r="K13" s="20" t="n"/>
      <c r="L13" s="20" t="n"/>
      <c r="M13" s="21" t="n"/>
    </row>
    <row r="14">
      <c r="A14" s="20" t="n"/>
      <c r="B14" s="20" t="n"/>
      <c r="C14" s="20" t="n"/>
      <c r="D14" s="20" t="n"/>
      <c r="E14" s="21" t="n"/>
      <c r="F14" s="21" t="n"/>
      <c r="G14" s="21" t="n"/>
      <c r="H14" s="20" t="n"/>
      <c r="I14" s="20" t="n"/>
      <c r="J14" s="20" t="n"/>
      <c r="K14" s="20" t="n"/>
      <c r="L14" s="20" t="n"/>
      <c r="M14" s="21" t="n"/>
    </row>
    <row r="15">
      <c r="A15" s="20" t="n"/>
      <c r="B15" s="20" t="n"/>
      <c r="C15" s="20" t="n"/>
      <c r="D15" s="20" t="n"/>
      <c r="E15" s="21" t="n"/>
      <c r="F15" s="21" t="n"/>
      <c r="G15" s="21" t="n"/>
      <c r="H15" s="20" t="n"/>
      <c r="I15" s="20" t="n"/>
      <c r="J15" s="20" t="n"/>
      <c r="K15" s="20" t="n"/>
      <c r="L15" s="20" t="n"/>
      <c r="M15" s="21" t="n"/>
    </row>
    <row r="16">
      <c r="A16" s="20" t="n"/>
      <c r="B16" s="20" t="n"/>
      <c r="C16" s="20" t="n"/>
      <c r="D16" s="20" t="n"/>
      <c r="E16" s="21" t="n"/>
      <c r="F16" s="21" t="n"/>
      <c r="G16" s="21" t="n"/>
      <c r="H16" s="20" t="n"/>
      <c r="I16" s="20" t="n"/>
      <c r="J16" s="20" t="n"/>
      <c r="K16" s="20" t="n"/>
      <c r="L16" s="20" t="n"/>
      <c r="M16" s="21" t="n"/>
    </row>
    <row r="17">
      <c r="A17" s="20" t="n"/>
      <c r="B17" s="20" t="n"/>
      <c r="C17" s="20" t="n"/>
      <c r="D17" s="20" t="n"/>
      <c r="E17" s="21" t="n"/>
      <c r="F17" s="21" t="n"/>
      <c r="G17" s="21" t="n"/>
      <c r="H17" s="20" t="n"/>
      <c r="I17" s="20" t="n"/>
      <c r="J17" s="20" t="n"/>
      <c r="K17" s="20" t="n"/>
      <c r="L17" s="20" t="n"/>
      <c r="M17" s="21" t="n"/>
    </row>
    <row r="18">
      <c r="A18" s="20" t="n"/>
      <c r="B18" s="20" t="n"/>
      <c r="C18" s="20" t="n"/>
      <c r="D18" s="20" t="n"/>
      <c r="E18" s="21" t="n"/>
      <c r="F18" s="21" t="n"/>
      <c r="G18" s="21" t="n"/>
      <c r="H18" s="20" t="n"/>
      <c r="I18" s="20" t="n"/>
      <c r="J18" s="20" t="n"/>
      <c r="K18" s="20" t="n"/>
      <c r="L18" s="20" t="n"/>
      <c r="M18" s="21" t="n"/>
    </row>
    <row r="19">
      <c r="A19" s="20" t="n"/>
      <c r="B19" s="20" t="n"/>
      <c r="C19" s="20" t="n"/>
      <c r="D19" s="20" t="n"/>
      <c r="E19" s="21" t="n"/>
      <c r="F19" s="21" t="n"/>
      <c r="G19" s="21" t="n"/>
      <c r="H19" s="20" t="n"/>
      <c r="I19" s="20" t="n"/>
      <c r="J19" s="20" t="n"/>
      <c r="K19" s="20" t="n"/>
      <c r="L19" s="20" t="n"/>
      <c r="M19" s="21" t="n"/>
    </row>
    <row r="20">
      <c r="A20" s="20" t="n"/>
      <c r="B20" s="20" t="n"/>
      <c r="C20" s="20" t="n"/>
      <c r="D20" s="20" t="n"/>
      <c r="E20" s="21" t="n"/>
      <c r="F20" s="21" t="n"/>
      <c r="G20" s="21" t="n"/>
      <c r="H20" s="20" t="n"/>
      <c r="I20" s="20" t="n"/>
      <c r="J20" s="20" t="n"/>
      <c r="K20" s="20" t="n"/>
      <c r="L20" s="20" t="n"/>
      <c r="M20" s="21" t="n"/>
    </row>
    <row r="21">
      <c r="A21" s="20" t="n"/>
      <c r="B21" s="20" t="n"/>
      <c r="C21" s="20" t="n"/>
      <c r="D21" s="20" t="n"/>
      <c r="E21" s="21" t="n"/>
      <c r="F21" s="21" t="n"/>
      <c r="G21" s="21" t="n"/>
      <c r="H21" s="20" t="n"/>
      <c r="I21" s="20" t="n"/>
      <c r="J21" s="20" t="n"/>
      <c r="K21" s="20" t="n"/>
      <c r="L21" s="20" t="n"/>
      <c r="M21" s="21" t="n"/>
    </row>
    <row r="22">
      <c r="A22" s="20" t="n"/>
      <c r="B22" s="20" t="n"/>
      <c r="C22" s="20" t="n"/>
      <c r="D22" s="20" t="n"/>
      <c r="E22" s="21" t="n"/>
      <c r="F22" s="21" t="n"/>
      <c r="G22" s="21" t="n"/>
      <c r="H22" s="20" t="n"/>
      <c r="I22" s="20" t="n"/>
      <c r="J22" s="20" t="n"/>
      <c r="K22" s="20" t="n"/>
      <c r="L22" s="20" t="n"/>
      <c r="M22" s="21" t="n"/>
    </row>
    <row r="23">
      <c r="A23" s="20" t="n"/>
      <c r="B23" s="20" t="n"/>
      <c r="C23" s="20" t="n"/>
      <c r="D23" s="20" t="n"/>
      <c r="E23" s="21" t="n"/>
      <c r="F23" s="21" t="n"/>
      <c r="G23" s="21" t="n"/>
      <c r="H23" s="20" t="n"/>
      <c r="I23" s="20" t="n"/>
      <c r="J23" s="20" t="n"/>
      <c r="K23" s="20" t="n"/>
      <c r="L23" s="20" t="n"/>
      <c r="M23" s="21" t="n"/>
    </row>
    <row r="24">
      <c r="A24" s="20" t="n"/>
      <c r="B24" s="20" t="n"/>
      <c r="C24" s="20" t="n"/>
      <c r="D24" s="20" t="n"/>
      <c r="E24" s="21" t="n"/>
      <c r="F24" s="21" t="n"/>
      <c r="G24" s="21" t="n"/>
      <c r="H24" s="20" t="n"/>
      <c r="I24" s="20" t="n"/>
      <c r="J24" s="20" t="n"/>
      <c r="K24" s="20" t="n"/>
      <c r="L24" s="20" t="n"/>
      <c r="M24" s="21" t="n"/>
    </row>
    <row r="25">
      <c r="A25" s="20" t="n"/>
      <c r="B25" s="20" t="n"/>
      <c r="C25" s="20" t="n"/>
      <c r="D25" s="20" t="n"/>
      <c r="E25" s="21" t="n"/>
      <c r="F25" s="21" t="n"/>
      <c r="G25" s="21" t="n"/>
      <c r="H25" s="20" t="n"/>
      <c r="I25" s="20" t="n"/>
      <c r="J25" s="20" t="n"/>
      <c r="K25" s="20" t="n"/>
      <c r="L25" s="20" t="n"/>
      <c r="M25" s="21" t="n"/>
    </row>
    <row r="26">
      <c r="A26" s="20" t="n"/>
      <c r="B26" s="20" t="n"/>
      <c r="C26" s="20" t="n"/>
      <c r="D26" s="20" t="n"/>
      <c r="E26" s="21" t="n"/>
      <c r="F26" s="21" t="n"/>
      <c r="G26" s="21" t="n"/>
      <c r="H26" s="20" t="n"/>
      <c r="I26" s="20" t="n"/>
      <c r="J26" s="20" t="n"/>
      <c r="K26" s="20" t="n"/>
      <c r="L26" s="20" t="n"/>
      <c r="M26" s="21" t="n"/>
    </row>
    <row r="27">
      <c r="A27" s="20" t="n"/>
      <c r="B27" s="20" t="n"/>
      <c r="C27" s="20" t="n"/>
      <c r="D27" s="20" t="n"/>
      <c r="E27" s="21" t="n"/>
      <c r="F27" s="21" t="n"/>
      <c r="G27" s="21" t="n"/>
      <c r="H27" s="20" t="n"/>
      <c r="I27" s="20" t="n"/>
      <c r="J27" s="20" t="n"/>
      <c r="K27" s="20" t="n"/>
      <c r="L27" s="20" t="n"/>
      <c r="M27" s="21" t="n"/>
    </row>
    <row r="28">
      <c r="A28" s="20" t="n"/>
      <c r="B28" s="20" t="n"/>
      <c r="C28" s="20" t="n"/>
      <c r="D28" s="20" t="n"/>
      <c r="E28" s="21" t="n"/>
      <c r="F28" s="21" t="n"/>
      <c r="G28" s="21" t="n"/>
      <c r="H28" s="20" t="n"/>
      <c r="I28" s="20" t="n"/>
      <c r="J28" s="20" t="n"/>
      <c r="K28" s="20" t="n"/>
      <c r="L28" s="20" t="n"/>
      <c r="M28" s="21" t="n"/>
    </row>
    <row r="29">
      <c r="A29" s="20" t="n"/>
      <c r="B29" s="20" t="n"/>
      <c r="C29" s="20" t="n"/>
      <c r="D29" s="20" t="n"/>
      <c r="E29" s="21" t="n"/>
      <c r="F29" s="21" t="n"/>
      <c r="G29" s="21" t="n"/>
      <c r="H29" s="20" t="n"/>
      <c r="I29" s="20" t="n"/>
      <c r="J29" s="20" t="n"/>
      <c r="K29" s="20" t="n"/>
      <c r="L29" s="20" t="n"/>
      <c r="M29" s="21" t="n"/>
    </row>
    <row r="30">
      <c r="A30" s="20" t="n"/>
      <c r="B30" s="20" t="n"/>
      <c r="C30" s="20" t="n"/>
      <c r="D30" s="20" t="n"/>
      <c r="E30" s="21" t="n"/>
      <c r="F30" s="21" t="n"/>
      <c r="G30" s="21" t="n"/>
      <c r="H30" s="20" t="n"/>
      <c r="I30" s="20" t="n"/>
      <c r="J30" s="20" t="n"/>
      <c r="K30" s="20" t="n"/>
      <c r="L30" s="20" t="n"/>
      <c r="M30" s="21" t="n"/>
    </row>
    <row r="31">
      <c r="A31" s="20" t="n"/>
      <c r="B31" s="20" t="n"/>
      <c r="C31" s="20" t="n"/>
      <c r="D31" s="20" t="n"/>
      <c r="E31" s="21" t="n"/>
      <c r="F31" s="21" t="n"/>
      <c r="G31" s="21" t="n"/>
      <c r="H31" s="20" t="n"/>
      <c r="I31" s="20" t="n"/>
      <c r="J31" s="20" t="n"/>
      <c r="K31" s="20" t="n"/>
      <c r="L31" s="20" t="n"/>
      <c r="M31" s="21" t="n"/>
    </row>
    <row r="32">
      <c r="A32" s="20" t="n"/>
      <c r="B32" s="20" t="n"/>
      <c r="C32" s="20" t="n"/>
      <c r="D32" s="20" t="n"/>
      <c r="E32" s="21" t="n"/>
      <c r="F32" s="21" t="n"/>
      <c r="G32" s="21" t="n"/>
      <c r="H32" s="20" t="n"/>
      <c r="I32" s="20" t="n"/>
      <c r="J32" s="20" t="n"/>
      <c r="K32" s="20" t="n"/>
      <c r="L32" s="20" t="n"/>
      <c r="M32" s="21" t="n"/>
    </row>
    <row r="33">
      <c r="A33" s="20" t="n"/>
      <c r="B33" s="20" t="n"/>
      <c r="C33" s="20" t="n"/>
      <c r="D33" s="20" t="n"/>
      <c r="E33" s="21" t="n"/>
      <c r="F33" s="21" t="n"/>
      <c r="G33" s="21" t="n"/>
      <c r="H33" s="20" t="n"/>
      <c r="I33" s="20" t="n"/>
      <c r="J33" s="20" t="n"/>
      <c r="K33" s="20" t="n"/>
      <c r="L33" s="20" t="n"/>
      <c r="M33" s="21" t="n"/>
    </row>
    <row r="34">
      <c r="A34" s="20" t="n"/>
      <c r="B34" s="20" t="n"/>
      <c r="C34" s="20" t="n"/>
      <c r="D34" s="20" t="n"/>
      <c r="E34" s="21" t="n"/>
      <c r="F34" s="21" t="n"/>
      <c r="G34" s="21" t="n"/>
      <c r="H34" s="20" t="n"/>
      <c r="I34" s="20" t="n"/>
      <c r="J34" s="20" t="n"/>
      <c r="K34" s="20" t="n"/>
      <c r="L34" s="20" t="n"/>
      <c r="M34" s="21" t="n"/>
    </row>
    <row r="35">
      <c r="A35" s="20" t="n"/>
      <c r="B35" s="20" t="n"/>
      <c r="C35" s="20" t="n"/>
      <c r="D35" s="20" t="n"/>
      <c r="E35" s="21" t="n"/>
      <c r="F35" s="21" t="n"/>
      <c r="G35" s="21" t="n"/>
      <c r="H35" s="20" t="n"/>
      <c r="I35" s="20" t="n"/>
      <c r="J35" s="20" t="n"/>
      <c r="K35" s="20" t="n"/>
      <c r="L35" s="20" t="n"/>
      <c r="M35" s="21" t="n"/>
    </row>
    <row r="36">
      <c r="A36" s="20" t="n"/>
      <c r="B36" s="20" t="n"/>
      <c r="C36" s="20" t="n"/>
      <c r="D36" s="20" t="n"/>
      <c r="E36" s="21" t="n"/>
      <c r="F36" s="21" t="n"/>
      <c r="G36" s="21" t="n"/>
      <c r="H36" s="20" t="n"/>
      <c r="I36" s="20" t="n"/>
      <c r="J36" s="20" t="n"/>
      <c r="K36" s="20" t="n"/>
      <c r="L36" s="20" t="n"/>
      <c r="M36" s="21" t="n"/>
    </row>
    <row r="37">
      <c r="A37" s="20" t="n"/>
      <c r="B37" s="20" t="n"/>
      <c r="C37" s="20" t="n"/>
      <c r="D37" s="20" t="n"/>
      <c r="E37" s="21" t="n"/>
      <c r="F37" s="21" t="n"/>
      <c r="G37" s="21" t="n"/>
      <c r="H37" s="20" t="n"/>
      <c r="I37" s="20" t="n"/>
      <c r="J37" s="20" t="n"/>
      <c r="K37" s="20" t="n"/>
      <c r="L37" s="20" t="n"/>
      <c r="M37" s="21" t="n"/>
    </row>
    <row r="38">
      <c r="A38" s="20" t="n"/>
      <c r="B38" s="20" t="n"/>
      <c r="C38" s="20" t="n"/>
      <c r="D38" s="20" t="n"/>
      <c r="E38" s="21" t="n"/>
      <c r="F38" s="21" t="n"/>
      <c r="G38" s="21" t="n"/>
      <c r="H38" s="20" t="n"/>
      <c r="I38" s="20" t="n"/>
      <c r="J38" s="20" t="n"/>
      <c r="K38" s="20" t="n"/>
      <c r="L38" s="20" t="n"/>
      <c r="M38" s="21" t="n"/>
    </row>
    <row r="39">
      <c r="A39" s="20" t="n"/>
      <c r="B39" s="20" t="n"/>
      <c r="C39" s="20" t="n"/>
      <c r="D39" s="20" t="n"/>
      <c r="E39" s="21" t="n"/>
      <c r="F39" s="21" t="n"/>
      <c r="G39" s="21" t="n"/>
      <c r="H39" s="20" t="n"/>
      <c r="I39" s="20" t="n"/>
      <c r="J39" s="20" t="n"/>
      <c r="K39" s="20" t="n"/>
      <c r="L39" s="20" t="n"/>
      <c r="M39" s="21" t="n"/>
    </row>
    <row r="40">
      <c r="A40" s="20" t="n"/>
      <c r="B40" s="20" t="n"/>
      <c r="C40" s="20" t="n"/>
      <c r="D40" s="20" t="n"/>
      <c r="E40" s="21" t="n"/>
      <c r="F40" s="21" t="n"/>
      <c r="G40" s="21" t="n"/>
      <c r="H40" s="20" t="n"/>
      <c r="I40" s="20" t="n"/>
      <c r="J40" s="20" t="n"/>
      <c r="K40" s="20" t="n"/>
      <c r="L40" s="20" t="n"/>
      <c r="M40" s="21" t="n"/>
    </row>
    <row r="41">
      <c r="A41" s="20" t="n"/>
      <c r="B41" s="20" t="n"/>
      <c r="C41" s="20" t="n"/>
      <c r="D41" s="20" t="n"/>
      <c r="E41" s="21" t="n"/>
      <c r="F41" s="21" t="n"/>
      <c r="G41" s="21" t="n"/>
      <c r="H41" s="20" t="n"/>
      <c r="I41" s="20" t="n"/>
      <c r="J41" s="20" t="n"/>
      <c r="K41" s="20" t="n"/>
      <c r="L41" s="20" t="n"/>
      <c r="M41" s="21" t="n"/>
    </row>
    <row r="42">
      <c r="A42" s="20" t="n"/>
      <c r="B42" s="20" t="n"/>
      <c r="C42" s="20" t="n"/>
      <c r="D42" s="20" t="n"/>
      <c r="E42" s="21" t="n"/>
      <c r="F42" s="21" t="n"/>
      <c r="G42" s="21" t="n"/>
      <c r="H42" s="20" t="n"/>
      <c r="I42" s="20" t="n"/>
      <c r="J42" s="20" t="n"/>
      <c r="K42" s="20" t="n"/>
      <c r="L42" s="20" t="n"/>
      <c r="M42" s="21" t="n"/>
    </row>
    <row r="43">
      <c r="A43" s="20" t="n"/>
      <c r="B43" s="20" t="n"/>
      <c r="C43" s="20" t="n"/>
      <c r="D43" s="20" t="n"/>
      <c r="E43" s="21" t="n"/>
      <c r="F43" s="21" t="n"/>
      <c r="G43" s="21" t="n"/>
      <c r="H43" s="20" t="n"/>
      <c r="I43" s="20" t="n"/>
      <c r="J43" s="20" t="n"/>
      <c r="K43" s="20" t="n"/>
      <c r="L43" s="20" t="n"/>
      <c r="M43" s="21" t="n"/>
    </row>
    <row r="44">
      <c r="A44" s="20" t="n"/>
      <c r="B44" s="20" t="n"/>
      <c r="C44" s="20" t="n"/>
      <c r="D44" s="20" t="n"/>
      <c r="E44" s="21" t="n"/>
      <c r="F44" s="21" t="n"/>
      <c r="G44" s="21" t="n"/>
      <c r="H44" s="20" t="n"/>
      <c r="I44" s="20" t="n"/>
      <c r="J44" s="20" t="n"/>
      <c r="K44" s="20" t="n"/>
      <c r="L44" s="20" t="n"/>
      <c r="M44" s="21" t="n"/>
    </row>
    <row r="45">
      <c r="A45" s="20" t="n"/>
      <c r="B45" s="20" t="n"/>
      <c r="C45" s="20" t="n"/>
      <c r="D45" s="20" t="n"/>
      <c r="E45" s="21" t="n"/>
      <c r="F45" s="21" t="n"/>
      <c r="G45" s="21" t="n"/>
      <c r="H45" s="20" t="n"/>
      <c r="I45" s="20" t="n"/>
      <c r="J45" s="20" t="n"/>
      <c r="K45" s="20" t="n"/>
      <c r="L45" s="20" t="n"/>
      <c r="M45" s="21" t="n"/>
    </row>
    <row r="46">
      <c r="A46" s="20" t="n"/>
      <c r="B46" s="20" t="n"/>
      <c r="C46" s="20" t="n"/>
      <c r="D46" s="20" t="n"/>
      <c r="E46" s="21" t="n"/>
      <c r="F46" s="21" t="n"/>
      <c r="G46" s="21" t="n"/>
      <c r="H46" s="20" t="n"/>
      <c r="I46" s="20" t="n"/>
      <c r="J46" s="20" t="n"/>
      <c r="K46" s="20" t="n"/>
      <c r="L46" s="20" t="n"/>
      <c r="M46" s="21" t="n"/>
    </row>
    <row r="47">
      <c r="A47" s="20" t="n"/>
      <c r="B47" s="20" t="n"/>
      <c r="C47" s="20" t="n"/>
      <c r="D47" s="20" t="n"/>
      <c r="E47" s="21" t="n"/>
      <c r="F47" s="21" t="n"/>
      <c r="G47" s="21" t="n"/>
      <c r="H47" s="20" t="n"/>
      <c r="I47" s="20" t="n"/>
      <c r="J47" s="20" t="n"/>
      <c r="K47" s="20" t="n"/>
      <c r="L47" s="20" t="n"/>
      <c r="M47" s="21" t="n"/>
    </row>
    <row r="48">
      <c r="A48" s="20" t="n"/>
      <c r="B48" s="20" t="n"/>
      <c r="C48" s="20" t="n"/>
      <c r="D48" s="20" t="n"/>
      <c r="E48" s="21" t="n"/>
      <c r="F48" s="21" t="n"/>
      <c r="G48" s="21" t="n"/>
      <c r="H48" s="20" t="n"/>
      <c r="I48" s="20" t="n"/>
      <c r="J48" s="20" t="n"/>
      <c r="K48" s="20" t="n"/>
      <c r="L48" s="20" t="n"/>
      <c r="M48" s="21" t="n"/>
    </row>
    <row r="49">
      <c r="A49" s="20" t="n"/>
      <c r="B49" s="20" t="n"/>
      <c r="C49" s="20" t="n"/>
      <c r="D49" s="20" t="n"/>
      <c r="E49" s="21" t="n"/>
      <c r="F49" s="21" t="n"/>
      <c r="G49" s="21" t="n"/>
      <c r="H49" s="20" t="n"/>
      <c r="I49" s="20" t="n"/>
      <c r="J49" s="20" t="n"/>
      <c r="K49" s="20" t="n"/>
      <c r="L49" s="20" t="n"/>
      <c r="M49" s="21" t="n"/>
    </row>
    <row r="50">
      <c r="A50" s="20" t="n"/>
      <c r="B50" s="20" t="n"/>
      <c r="C50" s="20" t="n"/>
      <c r="D50" s="20" t="n"/>
      <c r="E50" s="21" t="n"/>
      <c r="F50" s="21" t="n"/>
      <c r="G50" s="21" t="n"/>
      <c r="H50" s="20" t="n"/>
      <c r="I50" s="20" t="n"/>
      <c r="J50" s="20" t="n"/>
      <c r="K50" s="20" t="n"/>
      <c r="L50" s="20" t="n"/>
      <c r="M50" s="21" t="n"/>
    </row>
    <row r="51">
      <c r="A51" s="20" t="n"/>
      <c r="B51" s="20" t="n"/>
      <c r="C51" s="20" t="n"/>
      <c r="D51" s="20" t="n"/>
      <c r="E51" s="21" t="n"/>
      <c r="F51" s="21" t="n"/>
      <c r="G51" s="21" t="n"/>
      <c r="H51" s="20" t="n"/>
      <c r="I51" s="20" t="n"/>
      <c r="J51" s="20" t="n"/>
      <c r="K51" s="20" t="n"/>
      <c r="L51" s="20" t="n"/>
      <c r="M51" s="21" t="n"/>
    </row>
    <row r="52">
      <c r="A52" s="20" t="n"/>
      <c r="B52" s="20" t="n"/>
      <c r="C52" s="20" t="n"/>
      <c r="D52" s="20" t="n"/>
      <c r="E52" s="21" t="n"/>
      <c r="F52" s="21" t="n"/>
      <c r="G52" s="21" t="n"/>
      <c r="H52" s="20" t="n"/>
      <c r="I52" s="20" t="n"/>
      <c r="J52" s="20" t="n"/>
      <c r="K52" s="20" t="n"/>
      <c r="L52" s="20" t="n"/>
      <c r="M52" s="21" t="n"/>
    </row>
    <row r="53">
      <c r="A53" s="20" t="n"/>
      <c r="B53" s="20" t="n"/>
      <c r="C53" s="20" t="n"/>
      <c r="D53" s="20" t="n"/>
      <c r="E53" s="21" t="n"/>
      <c r="F53" s="21" t="n"/>
      <c r="G53" s="21" t="n"/>
      <c r="H53" s="20" t="n"/>
      <c r="I53" s="20" t="n"/>
      <c r="J53" s="20" t="n"/>
      <c r="K53" s="20" t="n"/>
      <c r="L53" s="20" t="n"/>
      <c r="M53" s="21" t="n"/>
    </row>
    <row r="54">
      <c r="A54" s="20" t="n"/>
      <c r="B54" s="20" t="n"/>
      <c r="C54" s="20" t="n"/>
      <c r="D54" s="20" t="n"/>
      <c r="E54" s="21" t="n"/>
      <c r="F54" s="21" t="n"/>
      <c r="G54" s="21" t="n"/>
      <c r="H54" s="20" t="n"/>
      <c r="I54" s="20" t="n"/>
      <c r="J54" s="20" t="n"/>
      <c r="K54" s="20" t="n"/>
      <c r="L54" s="20" t="n"/>
      <c r="M54" s="21" t="n"/>
    </row>
    <row r="55">
      <c r="A55" s="20" t="n"/>
      <c r="B55" s="20" t="n"/>
      <c r="C55" s="20" t="n"/>
      <c r="D55" s="20" t="n"/>
      <c r="E55" s="21" t="n"/>
      <c r="F55" s="21" t="n"/>
      <c r="G55" s="21" t="n"/>
      <c r="H55" s="20" t="n"/>
      <c r="I55" s="20" t="n"/>
      <c r="J55" s="20" t="n"/>
      <c r="K55" s="20" t="n"/>
      <c r="L55" s="20" t="n"/>
      <c r="M55" s="21" t="n"/>
    </row>
    <row r="56">
      <c r="A56" s="20" t="n"/>
      <c r="B56" s="20" t="n"/>
      <c r="C56" s="20" t="n"/>
      <c r="D56" s="20" t="n"/>
      <c r="E56" s="21" t="n"/>
      <c r="F56" s="21" t="n"/>
      <c r="G56" s="21" t="n"/>
      <c r="H56" s="20" t="n"/>
      <c r="I56" s="20" t="n"/>
      <c r="J56" s="20" t="n"/>
      <c r="K56" s="20" t="n"/>
      <c r="L56" s="20" t="n"/>
      <c r="M56" s="21" t="n"/>
    </row>
    <row r="57">
      <c r="A57" s="20" t="n"/>
      <c r="B57" s="20" t="n"/>
      <c r="C57" s="20" t="n"/>
      <c r="D57" s="20" t="n"/>
      <c r="E57" s="21" t="n"/>
      <c r="F57" s="21" t="n"/>
      <c r="G57" s="21" t="n"/>
      <c r="H57" s="20" t="n"/>
      <c r="I57" s="20" t="n"/>
      <c r="J57" s="20" t="n"/>
      <c r="K57" s="20" t="n"/>
      <c r="L57" s="20" t="n"/>
      <c r="M57" s="21" t="n"/>
    </row>
    <row r="58">
      <c r="A58" s="20" t="n"/>
      <c r="B58" s="20" t="n"/>
      <c r="C58" s="20" t="n"/>
      <c r="D58" s="20" t="n"/>
      <c r="E58" s="21" t="n"/>
      <c r="F58" s="21" t="n"/>
      <c r="G58" s="21" t="n"/>
      <c r="H58" s="20" t="n"/>
      <c r="I58" s="20" t="n"/>
      <c r="J58" s="20" t="n"/>
      <c r="K58" s="20" t="n"/>
      <c r="L58" s="20" t="n"/>
      <c r="M58" s="21" t="n"/>
    </row>
    <row r="59">
      <c r="A59" s="20" t="n"/>
      <c r="B59" s="20" t="n"/>
      <c r="C59" s="20" t="n"/>
      <c r="D59" s="20" t="n"/>
      <c r="E59" s="21" t="n"/>
      <c r="F59" s="21" t="n"/>
      <c r="G59" s="21" t="n"/>
      <c r="H59" s="20" t="n"/>
      <c r="I59" s="20" t="n"/>
      <c r="J59" s="20" t="n"/>
      <c r="K59" s="20" t="n"/>
      <c r="L59" s="20" t="n"/>
      <c r="M59" s="21" t="n"/>
    </row>
    <row r="60">
      <c r="A60" s="20" t="n"/>
      <c r="B60" s="20" t="n"/>
      <c r="C60" s="20" t="n"/>
      <c r="D60" s="20" t="n"/>
      <c r="E60" s="21" t="n"/>
      <c r="F60" s="21" t="n"/>
      <c r="G60" s="21" t="n"/>
      <c r="H60" s="20" t="n"/>
      <c r="I60" s="20" t="n"/>
      <c r="J60" s="20" t="n"/>
      <c r="K60" s="20" t="n"/>
      <c r="L60" s="20" t="n"/>
      <c r="M60" s="21" t="n"/>
    </row>
    <row r="61">
      <c r="A61" s="20" t="n"/>
      <c r="B61" s="20" t="n"/>
      <c r="C61" s="20" t="n"/>
      <c r="D61" s="20" t="n"/>
      <c r="E61" s="21" t="n"/>
      <c r="F61" s="21" t="n"/>
      <c r="G61" s="21" t="n"/>
      <c r="H61" s="20" t="n"/>
      <c r="I61" s="20" t="n"/>
      <c r="J61" s="20" t="n"/>
      <c r="K61" s="20" t="n"/>
      <c r="L61" s="20" t="n"/>
      <c r="M61" s="21" t="n"/>
    </row>
    <row r="62">
      <c r="A62" s="20" t="n"/>
      <c r="B62" s="20" t="n"/>
      <c r="C62" s="20" t="n"/>
      <c r="D62" s="20" t="n"/>
      <c r="E62" s="21" t="n"/>
      <c r="F62" s="21" t="n"/>
      <c r="G62" s="21" t="n"/>
      <c r="H62" s="20" t="n"/>
      <c r="I62" s="20" t="n"/>
      <c r="J62" s="20" t="n"/>
      <c r="K62" s="20" t="n"/>
      <c r="L62" s="20" t="n"/>
      <c r="M62" s="21" t="n"/>
    </row>
    <row r="63">
      <c r="A63" s="20" t="n"/>
      <c r="B63" s="20" t="n"/>
      <c r="C63" s="20" t="n"/>
      <c r="D63" s="20" t="n"/>
      <c r="E63" s="21" t="n"/>
      <c r="F63" s="21" t="n"/>
      <c r="G63" s="21" t="n"/>
      <c r="H63" s="20" t="n"/>
      <c r="I63" s="20" t="n"/>
      <c r="J63" s="20" t="n"/>
      <c r="K63" s="20" t="n"/>
      <c r="L63" s="20" t="n"/>
      <c r="M63" s="21" t="n"/>
    </row>
    <row r="64">
      <c r="A64" s="20" t="n"/>
      <c r="B64" s="20" t="n"/>
      <c r="C64" s="20" t="n"/>
      <c r="D64" s="20" t="n"/>
      <c r="E64" s="21" t="n"/>
      <c r="F64" s="21" t="n"/>
      <c r="G64" s="21" t="n"/>
      <c r="H64" s="20" t="n"/>
      <c r="I64" s="20" t="n"/>
      <c r="J64" s="20" t="n"/>
      <c r="K64" s="20" t="n"/>
      <c r="L64" s="20" t="n"/>
      <c r="M64" s="21" t="n"/>
    </row>
    <row r="65">
      <c r="A65" s="20" t="n"/>
      <c r="B65" s="20" t="n"/>
      <c r="C65" s="20" t="n"/>
      <c r="D65" s="20" t="n"/>
      <c r="E65" s="21" t="n"/>
      <c r="F65" s="21" t="n"/>
      <c r="G65" s="21" t="n"/>
      <c r="H65" s="20" t="n"/>
      <c r="I65" s="20" t="n"/>
      <c r="J65" s="20" t="n"/>
      <c r="K65" s="20" t="n"/>
      <c r="L65" s="20" t="n"/>
      <c r="M65" s="21" t="n"/>
    </row>
    <row r="66">
      <c r="A66" s="20" t="n"/>
      <c r="B66" s="20" t="n"/>
      <c r="C66" s="20" t="n"/>
      <c r="D66" s="20" t="n"/>
      <c r="E66" s="21" t="n"/>
      <c r="F66" s="21" t="n"/>
      <c r="G66" s="21" t="n"/>
      <c r="H66" s="20" t="n"/>
      <c r="I66" s="20" t="n"/>
      <c r="J66" s="20" t="n"/>
      <c r="K66" s="20" t="n"/>
      <c r="L66" s="20" t="n"/>
      <c r="M66" s="21" t="n"/>
    </row>
    <row r="67">
      <c r="A67" s="20" t="n"/>
      <c r="B67" s="20" t="n"/>
      <c r="C67" s="20" t="n"/>
      <c r="D67" s="20" t="n"/>
      <c r="E67" s="21" t="n"/>
      <c r="F67" s="21" t="n"/>
      <c r="G67" s="21" t="n"/>
      <c r="H67" s="20" t="n"/>
      <c r="I67" s="20" t="n"/>
      <c r="J67" s="20" t="n"/>
      <c r="K67" s="20" t="n"/>
      <c r="L67" s="20" t="n"/>
      <c r="M67" s="21" t="n"/>
    </row>
    <row r="68">
      <c r="A68" s="20" t="n"/>
      <c r="B68" s="20" t="n"/>
      <c r="C68" s="20" t="n"/>
      <c r="D68" s="20" t="n"/>
      <c r="E68" s="21" t="n"/>
      <c r="F68" s="21" t="n"/>
      <c r="G68" s="21" t="n"/>
      <c r="H68" s="20" t="n"/>
      <c r="I68" s="20" t="n"/>
      <c r="J68" s="20" t="n"/>
      <c r="K68" s="20" t="n"/>
      <c r="L68" s="20" t="n"/>
      <c r="M68" s="21" t="n"/>
    </row>
    <row r="69">
      <c r="A69" s="20" t="n"/>
      <c r="B69" s="20" t="n"/>
      <c r="C69" s="20" t="n"/>
      <c r="D69" s="20" t="n"/>
      <c r="E69" s="21" t="n"/>
      <c r="F69" s="21" t="n"/>
      <c r="G69" s="21" t="n"/>
      <c r="H69" s="20" t="n"/>
      <c r="I69" s="20" t="n"/>
      <c r="J69" s="20" t="n"/>
      <c r="K69" s="20" t="n"/>
      <c r="L69" s="20" t="n"/>
      <c r="M69" s="21" t="n"/>
    </row>
    <row r="70">
      <c r="A70" s="20" t="n"/>
      <c r="B70" s="20" t="n"/>
      <c r="C70" s="20" t="n"/>
      <c r="D70" s="20" t="n"/>
      <c r="E70" s="21" t="n"/>
      <c r="F70" s="21" t="n"/>
      <c r="G70" s="21" t="n"/>
      <c r="H70" s="20" t="n"/>
      <c r="I70" s="20" t="n"/>
      <c r="J70" s="20" t="n"/>
      <c r="K70" s="20" t="n"/>
      <c r="L70" s="20" t="n"/>
      <c r="M70" s="21" t="n"/>
    </row>
    <row r="71">
      <c r="A71" s="20" t="n"/>
      <c r="B71" s="20" t="n"/>
      <c r="C71" s="20" t="n"/>
      <c r="D71" s="20" t="n"/>
      <c r="E71" s="21" t="n"/>
      <c r="F71" s="21" t="n"/>
      <c r="G71" s="21" t="n"/>
      <c r="H71" s="20" t="n"/>
      <c r="I71" s="20" t="n"/>
      <c r="J71" s="20" t="n"/>
      <c r="K71" s="20" t="n"/>
      <c r="L71" s="20" t="n"/>
      <c r="M71" s="21" t="n"/>
    </row>
    <row r="72">
      <c r="A72" s="20" t="n"/>
      <c r="B72" s="20" t="n"/>
      <c r="C72" s="20" t="n"/>
      <c r="D72" s="20" t="n"/>
      <c r="E72" s="21" t="n"/>
      <c r="F72" s="21" t="n"/>
      <c r="G72" s="21" t="n"/>
      <c r="H72" s="20" t="n"/>
      <c r="I72" s="20" t="n"/>
      <c r="J72" s="20" t="n"/>
      <c r="K72" s="20" t="n"/>
      <c r="L72" s="20" t="n"/>
      <c r="M72" s="21" t="n"/>
    </row>
    <row r="73">
      <c r="A73" s="20" t="n"/>
      <c r="B73" s="20" t="n"/>
      <c r="C73" s="20" t="n"/>
      <c r="D73" s="20" t="n"/>
      <c r="E73" s="21" t="n"/>
      <c r="F73" s="21" t="n"/>
      <c r="G73" s="21" t="n"/>
      <c r="H73" s="20" t="n"/>
      <c r="I73" s="20" t="n"/>
      <c r="J73" s="20" t="n"/>
      <c r="K73" s="20" t="n"/>
      <c r="L73" s="20" t="n"/>
      <c r="M73" s="21" t="n"/>
    </row>
    <row r="74">
      <c r="A74" s="20" t="n"/>
      <c r="B74" s="20" t="n"/>
      <c r="C74" s="20" t="n"/>
      <c r="D74" s="20" t="n"/>
      <c r="E74" s="21" t="n"/>
      <c r="F74" s="21" t="n"/>
      <c r="G74" s="21" t="n"/>
      <c r="H74" s="20" t="n"/>
      <c r="I74" s="20" t="n"/>
      <c r="J74" s="20" t="n"/>
      <c r="K74" s="20" t="n"/>
      <c r="L74" s="20" t="n"/>
      <c r="M74" s="21" t="n"/>
    </row>
    <row r="75">
      <c r="A75" s="20" t="n"/>
      <c r="B75" s="20" t="n"/>
      <c r="C75" s="20" t="n"/>
      <c r="D75" s="20" t="n"/>
      <c r="E75" s="21" t="n"/>
      <c r="F75" s="21" t="n"/>
      <c r="G75" s="21" t="n"/>
      <c r="H75" s="20" t="n"/>
      <c r="I75" s="20" t="n"/>
      <c r="J75" s="20" t="n"/>
      <c r="K75" s="20" t="n"/>
      <c r="L75" s="20" t="n"/>
      <c r="M75" s="21" t="n"/>
    </row>
    <row r="76">
      <c r="A76" s="20" t="n"/>
      <c r="B76" s="20" t="n"/>
      <c r="C76" s="20" t="n"/>
      <c r="D76" s="20" t="n"/>
      <c r="E76" s="21" t="n"/>
      <c r="F76" s="21" t="n"/>
      <c r="G76" s="21" t="n"/>
      <c r="H76" s="20" t="n"/>
      <c r="I76" s="20" t="n"/>
      <c r="J76" s="20" t="n"/>
      <c r="K76" s="20" t="n"/>
      <c r="L76" s="20" t="n"/>
      <c r="M76" s="21" t="n"/>
    </row>
    <row r="77">
      <c r="A77" s="20" t="n"/>
      <c r="B77" s="20" t="n"/>
      <c r="C77" s="20" t="n"/>
      <c r="D77" s="20" t="n"/>
      <c r="E77" s="21" t="n"/>
      <c r="F77" s="21" t="n"/>
      <c r="G77" s="21" t="n"/>
      <c r="H77" s="20" t="n"/>
      <c r="I77" s="20" t="n"/>
      <c r="J77" s="20" t="n"/>
      <c r="K77" s="20" t="n"/>
      <c r="L77" s="20" t="n"/>
      <c r="M77" s="21" t="n"/>
    </row>
    <row r="78">
      <c r="A78" s="20" t="n"/>
      <c r="B78" s="20" t="n"/>
      <c r="C78" s="20" t="n"/>
      <c r="D78" s="20" t="n"/>
      <c r="E78" s="21" t="n"/>
      <c r="F78" s="21" t="n"/>
      <c r="G78" s="21" t="n"/>
      <c r="H78" s="20" t="n"/>
      <c r="I78" s="20" t="n"/>
      <c r="J78" s="20" t="n"/>
      <c r="K78" s="20" t="n"/>
      <c r="L78" s="20" t="n"/>
      <c r="M78" s="21" t="n"/>
    </row>
    <row r="79">
      <c r="A79" s="20" t="n"/>
      <c r="B79" s="20" t="n"/>
      <c r="C79" s="20" t="n"/>
      <c r="D79" s="20" t="n"/>
      <c r="E79" s="21" t="n"/>
      <c r="F79" s="21" t="n"/>
      <c r="G79" s="21" t="n"/>
      <c r="H79" s="20" t="n"/>
      <c r="I79" s="20" t="n"/>
      <c r="J79" s="20" t="n"/>
      <c r="K79" s="20" t="n"/>
      <c r="L79" s="20" t="n"/>
      <c r="M79" s="21" t="n"/>
    </row>
    <row r="80">
      <c r="A80" s="20" t="n"/>
      <c r="B80" s="20" t="n"/>
      <c r="C80" s="20" t="n"/>
      <c r="D80" s="20" t="n"/>
      <c r="E80" s="21" t="n"/>
      <c r="F80" s="21" t="n"/>
      <c r="G80" s="21" t="n"/>
      <c r="H80" s="20" t="n"/>
      <c r="I80" s="20" t="n"/>
      <c r="J80" s="20" t="n"/>
      <c r="K80" s="20" t="n"/>
      <c r="L80" s="20" t="n"/>
      <c r="M80" s="21" t="n"/>
    </row>
    <row r="81">
      <c r="A81" s="20" t="n"/>
      <c r="B81" s="20" t="n"/>
      <c r="C81" s="20" t="n"/>
      <c r="D81" s="20" t="n"/>
      <c r="E81" s="21" t="n"/>
      <c r="F81" s="21" t="n"/>
      <c r="G81" s="21" t="n"/>
      <c r="H81" s="20" t="n"/>
      <c r="I81" s="20" t="n"/>
      <c r="J81" s="20" t="n"/>
      <c r="K81" s="20" t="n"/>
      <c r="L81" s="20" t="n"/>
      <c r="M81" s="21" t="n"/>
    </row>
    <row r="82">
      <c r="A82" s="20" t="n"/>
      <c r="B82" s="20" t="n"/>
      <c r="C82" s="20" t="n"/>
      <c r="D82" s="20" t="n"/>
      <c r="E82" s="21" t="n"/>
      <c r="F82" s="21" t="n"/>
      <c r="G82" s="21" t="n"/>
      <c r="H82" s="20" t="n"/>
      <c r="I82" s="20" t="n"/>
      <c r="J82" s="20" t="n"/>
      <c r="K82" s="20" t="n"/>
      <c r="L82" s="20" t="n"/>
      <c r="M82" s="21" t="n"/>
    </row>
    <row r="83">
      <c r="A83" s="20" t="n"/>
      <c r="B83" s="20" t="n"/>
      <c r="C83" s="20" t="n"/>
      <c r="D83" s="20" t="n"/>
      <c r="E83" s="21" t="n"/>
      <c r="F83" s="21" t="n"/>
      <c r="G83" s="21" t="n"/>
      <c r="H83" s="20" t="n"/>
      <c r="I83" s="20" t="n"/>
      <c r="J83" s="20" t="n"/>
      <c r="K83" s="20" t="n"/>
      <c r="L83" s="20" t="n"/>
      <c r="M83" s="21" t="n"/>
    </row>
    <row r="84">
      <c r="A84" s="20" t="n"/>
      <c r="B84" s="20" t="n"/>
      <c r="C84" s="20" t="n"/>
      <c r="D84" s="20" t="n"/>
      <c r="E84" s="21" t="n"/>
      <c r="F84" s="21" t="n"/>
      <c r="G84" s="21" t="n"/>
      <c r="H84" s="20" t="n"/>
      <c r="I84" s="20" t="n"/>
      <c r="J84" s="20" t="n"/>
      <c r="K84" s="20" t="n"/>
      <c r="L84" s="20" t="n"/>
      <c r="M84" s="21" t="n"/>
    </row>
    <row r="85">
      <c r="A85" s="20" t="n"/>
      <c r="B85" s="20" t="n"/>
      <c r="C85" s="20" t="n"/>
      <c r="D85" s="20" t="n"/>
      <c r="E85" s="21" t="n"/>
      <c r="F85" s="21" t="n"/>
      <c r="G85" s="21" t="n"/>
      <c r="H85" s="20" t="n"/>
      <c r="I85" s="20" t="n"/>
      <c r="J85" s="20" t="n"/>
      <c r="K85" s="20" t="n"/>
      <c r="L85" s="20" t="n"/>
      <c r="M85" s="21" t="n"/>
    </row>
    <row r="86">
      <c r="A86" s="20" t="n"/>
      <c r="B86" s="20" t="n"/>
      <c r="C86" s="20" t="n"/>
      <c r="D86" s="20" t="n"/>
      <c r="E86" s="21" t="n"/>
      <c r="F86" s="21" t="n"/>
      <c r="G86" s="21" t="n"/>
      <c r="H86" s="20" t="n"/>
      <c r="I86" s="20" t="n"/>
      <c r="J86" s="20" t="n"/>
      <c r="K86" s="20" t="n"/>
      <c r="L86" s="20" t="n"/>
      <c r="M86" s="21" t="n"/>
    </row>
    <row r="87">
      <c r="A87" s="20" t="n"/>
      <c r="B87" s="20" t="n"/>
      <c r="C87" s="20" t="n"/>
      <c r="D87" s="20" t="n"/>
      <c r="E87" s="21" t="n"/>
      <c r="F87" s="21" t="n"/>
      <c r="G87" s="21" t="n"/>
      <c r="H87" s="20" t="n"/>
      <c r="I87" s="20" t="n"/>
      <c r="J87" s="20" t="n"/>
      <c r="K87" s="20" t="n"/>
      <c r="L87" s="20" t="n"/>
      <c r="M87" s="21" t="n"/>
    </row>
    <row r="88">
      <c r="A88" s="20" t="n"/>
      <c r="B88" s="20" t="n"/>
      <c r="C88" s="20" t="n"/>
      <c r="D88" s="20" t="n"/>
      <c r="E88" s="21" t="n"/>
      <c r="F88" s="21" t="n"/>
      <c r="G88" s="21" t="n"/>
      <c r="H88" s="20" t="n"/>
      <c r="I88" s="20" t="n"/>
      <c r="J88" s="20" t="n"/>
      <c r="K88" s="20" t="n"/>
      <c r="L88" s="20" t="n"/>
      <c r="M88" s="21" t="n"/>
    </row>
    <row r="89">
      <c r="A89" s="20" t="n"/>
      <c r="B89" s="20" t="n"/>
      <c r="C89" s="20" t="n"/>
      <c r="D89" s="20" t="n"/>
      <c r="E89" s="21" t="n"/>
      <c r="F89" s="21" t="n"/>
      <c r="G89" s="21" t="n"/>
      <c r="H89" s="20" t="n"/>
      <c r="I89" s="20" t="n"/>
      <c r="J89" s="20" t="n"/>
      <c r="K89" s="20" t="n"/>
      <c r="L89" s="20" t="n"/>
      <c r="M89" s="21" t="n"/>
    </row>
    <row r="90">
      <c r="A90" s="20" t="n"/>
      <c r="B90" s="20" t="n"/>
      <c r="C90" s="20" t="n"/>
      <c r="D90" s="20" t="n"/>
      <c r="E90" s="21" t="n"/>
      <c r="F90" s="21" t="n"/>
      <c r="G90" s="21" t="n"/>
      <c r="H90" s="20" t="n"/>
      <c r="I90" s="20" t="n"/>
      <c r="J90" s="20" t="n"/>
      <c r="K90" s="20" t="n"/>
      <c r="L90" s="20" t="n"/>
      <c r="M90" s="21" t="n"/>
    </row>
    <row r="91">
      <c r="A91" s="20" t="n"/>
      <c r="B91" s="20" t="n"/>
      <c r="C91" s="20" t="n"/>
      <c r="D91" s="20" t="n"/>
      <c r="E91" s="21" t="n"/>
      <c r="F91" s="21" t="n"/>
      <c r="G91" s="21" t="n"/>
      <c r="H91" s="20" t="n"/>
      <c r="I91" s="20" t="n"/>
      <c r="J91" s="20" t="n"/>
      <c r="K91" s="20" t="n"/>
      <c r="L91" s="20" t="n"/>
      <c r="M91" s="21" t="n"/>
    </row>
    <row r="92">
      <c r="A92" s="20" t="n"/>
      <c r="B92" s="20" t="n"/>
      <c r="C92" s="20" t="n"/>
      <c r="D92" s="20" t="n"/>
      <c r="E92" s="21" t="n"/>
      <c r="F92" s="21" t="n"/>
      <c r="G92" s="21" t="n"/>
      <c r="H92" s="20" t="n"/>
      <c r="I92" s="20" t="n"/>
      <c r="J92" s="20" t="n"/>
      <c r="K92" s="20" t="n"/>
      <c r="L92" s="20" t="n"/>
      <c r="M92" s="21" t="n"/>
    </row>
    <row r="93">
      <c r="A93" s="20" t="n"/>
      <c r="B93" s="20" t="n"/>
      <c r="C93" s="20" t="n"/>
      <c r="D93" s="20" t="n"/>
      <c r="E93" s="21" t="n"/>
      <c r="F93" s="21" t="n"/>
      <c r="G93" s="21" t="n"/>
      <c r="H93" s="20" t="n"/>
      <c r="I93" s="20" t="n"/>
      <c r="J93" s="20" t="n"/>
      <c r="K93" s="20" t="n"/>
      <c r="L93" s="20" t="n"/>
      <c r="M93" s="21" t="n"/>
    </row>
    <row r="94">
      <c r="A94" s="20" t="n"/>
      <c r="B94" s="20" t="n"/>
      <c r="C94" s="20" t="n"/>
      <c r="D94" s="20" t="n"/>
      <c r="E94" s="21" t="n"/>
      <c r="F94" s="21" t="n"/>
      <c r="G94" s="21" t="n"/>
      <c r="H94" s="20" t="n"/>
      <c r="I94" s="20" t="n"/>
      <c r="J94" s="20" t="n"/>
      <c r="K94" s="20" t="n"/>
      <c r="L94" s="20" t="n"/>
      <c r="M94" s="21" t="n"/>
    </row>
    <row r="95">
      <c r="A95" s="20" t="n"/>
      <c r="B95" s="20" t="n"/>
      <c r="C95" s="20" t="n"/>
      <c r="D95" s="20" t="n"/>
      <c r="E95" s="21" t="n"/>
      <c r="F95" s="21" t="n"/>
      <c r="G95" s="21" t="n"/>
      <c r="H95" s="20" t="n"/>
      <c r="I95" s="20" t="n"/>
      <c r="J95" s="20" t="n"/>
      <c r="K95" s="20" t="n"/>
      <c r="L95" s="20" t="n"/>
      <c r="M95" s="21" t="n"/>
    </row>
    <row r="96">
      <c r="A96" s="20" t="n"/>
      <c r="B96" s="20" t="n"/>
      <c r="C96" s="20" t="n"/>
      <c r="D96" s="20" t="n"/>
      <c r="E96" s="21" t="n"/>
      <c r="F96" s="21" t="n"/>
      <c r="G96" s="21" t="n"/>
      <c r="H96" s="20" t="n"/>
      <c r="I96" s="20" t="n"/>
      <c r="J96" s="20" t="n"/>
      <c r="K96" s="20" t="n"/>
      <c r="L96" s="20" t="n"/>
      <c r="M96" s="21" t="n"/>
    </row>
    <row r="97">
      <c r="A97" s="20" t="n"/>
      <c r="B97" s="20" t="n"/>
      <c r="C97" s="20" t="n"/>
      <c r="D97" s="20" t="n"/>
      <c r="E97" s="21" t="n"/>
      <c r="F97" s="21" t="n"/>
      <c r="G97" s="21" t="n"/>
      <c r="H97" s="20" t="n"/>
      <c r="I97" s="20" t="n"/>
      <c r="J97" s="20" t="n"/>
      <c r="K97" s="20" t="n"/>
      <c r="L97" s="20" t="n"/>
      <c r="M97" s="21" t="n"/>
    </row>
    <row r="98">
      <c r="A98" s="20" t="n"/>
      <c r="B98" s="20" t="n"/>
      <c r="C98" s="20" t="n"/>
      <c r="D98" s="20" t="n"/>
      <c r="E98" s="21" t="n"/>
      <c r="F98" s="21" t="n"/>
      <c r="G98" s="21" t="n"/>
      <c r="H98" s="20" t="n"/>
      <c r="I98" s="20" t="n"/>
      <c r="J98" s="20" t="n"/>
      <c r="K98" s="20" t="n"/>
      <c r="L98" s="20" t="n"/>
      <c r="M98" s="21" t="n"/>
    </row>
    <row r="99">
      <c r="A99" s="20" t="n"/>
      <c r="B99" s="20" t="n"/>
      <c r="C99" s="20" t="n"/>
      <c r="D99" s="20" t="n"/>
      <c r="E99" s="21" t="n"/>
      <c r="F99" s="21" t="n"/>
      <c r="G99" s="21" t="n"/>
      <c r="H99" s="20" t="n"/>
      <c r="I99" s="20" t="n"/>
      <c r="J99" s="20" t="n"/>
      <c r="K99" s="20" t="n"/>
      <c r="L99" s="20" t="n"/>
      <c r="M99" s="21" t="n"/>
    </row>
    <row r="100">
      <c r="A100" s="20" t="n"/>
      <c r="B100" s="20" t="n"/>
      <c r="C100" s="20" t="n"/>
      <c r="D100" s="20" t="n"/>
      <c r="E100" s="21" t="n"/>
      <c r="F100" s="21" t="n"/>
      <c r="G100" s="21" t="n"/>
      <c r="H100" s="20" t="n"/>
      <c r="I100" s="20" t="n"/>
      <c r="J100" s="20" t="n"/>
      <c r="K100" s="20" t="n"/>
      <c r="L100" s="20" t="n"/>
      <c r="M100" s="21" t="n"/>
    </row>
    <row r="101">
      <c r="A101" s="20" t="n"/>
      <c r="B101" s="20" t="n"/>
      <c r="C101" s="20" t="n"/>
      <c r="D101" s="20" t="n"/>
      <c r="E101" s="21" t="n"/>
      <c r="F101" s="21" t="n"/>
      <c r="G101" s="21" t="n"/>
      <c r="H101" s="20" t="n"/>
      <c r="I101" s="20" t="n"/>
      <c r="J101" s="20" t="n"/>
      <c r="K101" s="20" t="n"/>
      <c r="L101" s="20" t="n"/>
      <c r="M101" s="21" t="n"/>
    </row>
    <row r="102">
      <c r="A102" s="20" t="n"/>
      <c r="B102" s="20" t="n"/>
      <c r="C102" s="20" t="n"/>
      <c r="D102" s="20" t="n"/>
      <c r="E102" s="21" t="n"/>
      <c r="F102" s="21" t="n"/>
      <c r="G102" s="21" t="n"/>
      <c r="H102" s="20" t="n"/>
      <c r="I102" s="20" t="n"/>
      <c r="J102" s="20" t="n"/>
      <c r="K102" s="20" t="n"/>
      <c r="L102" s="20" t="n"/>
      <c r="M102" s="21" t="n"/>
    </row>
  </sheetData>
  <dataValidations count="2">
    <dataValidation sqref="J2:J300" showDropDown="0" showInputMessage="0" showErrorMessage="0" allowBlank="1" type="list">
      <formula1>"Critical,High,Medium,Low"</formula1>
    </dataValidation>
    <dataValidation sqref="L2:L300" showDropDown="0" showInputMessage="0" showErrorMessage="0" allowBlank="1" type="list">
      <formula1>"Open,Fixed,Retest,Closed,Not a bug"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2" customWidth="1" min="1" max="1"/>
    <col width="46" customWidth="1" min="2" max="2"/>
    <col width="36" customWidth="1" min="3" max="3"/>
    <col width="50" customWidth="1" min="4" max="4"/>
  </cols>
  <sheetData>
    <row r="1" ht="32" customHeight="1">
      <c r="A1" s="14" t="inlineStr">
        <is>
          <t>Role</t>
        </is>
      </c>
      <c r="B1" s="14" t="inlineStr">
        <is>
          <t>What it is for</t>
        </is>
      </c>
      <c r="C1" s="14" t="inlineStr">
        <is>
          <t>Account on the test site</t>
        </is>
      </c>
      <c r="D1" s="14" t="inlineStr">
        <is>
          <t>Notes</t>
        </is>
      </c>
    </row>
    <row r="2">
      <c r="A2" s="19" t="inlineStr">
        <is>
          <t>HR Manager</t>
        </is>
      </c>
      <c r="B2" s="19" t="inlineStr">
        <is>
          <t>HR Dashboard, approvals, recruitment, Jameah pages</t>
        </is>
      </c>
      <c r="C2" s="19" t="inlineStr">
        <is>
          <t>Ask the developer (QA accounts are created per test run)</t>
        </is>
      </c>
      <c r="D2" s="19" t="inlineStr">
        <is>
          <t>Must have HR Manager + HR User roles</t>
        </is>
      </c>
    </row>
    <row r="3">
      <c r="A3" s="19" t="inlineStr">
        <is>
          <t>HR User</t>
        </is>
      </c>
      <c r="B3" s="19" t="inlineStr">
        <is>
          <t>Day-to-day HR checks</t>
        </is>
      </c>
      <c r="C3" s="19" t="inlineStr">
        <is>
          <t>Ask the developer</t>
        </is>
      </c>
      <c r="D3" s="19" t="inlineStr">
        <is>
          <t>HR User role only</t>
        </is>
      </c>
    </row>
    <row r="4">
      <c r="A4" s="19" t="inlineStr">
        <is>
          <t>Employee (x2)</t>
        </is>
      </c>
      <c r="B4" s="19" t="inlineStr">
        <is>
          <t>Self-service and privacy checks (two people)</t>
        </is>
      </c>
      <c r="C4" s="19" t="inlineStr">
        <is>
          <t>Ask the developer</t>
        </is>
      </c>
      <c r="D4" s="19" t="inlineStr">
        <is>
          <t>Each must be linked to an Employee record with a leave approver</t>
        </is>
      </c>
    </row>
    <row r="5">
      <c r="A5" s="19" t="inlineStr">
        <is>
          <t>Instructor</t>
        </is>
      </c>
      <c r="B5" s="19" t="inlineStr">
        <is>
          <t>Check the Instructor dashboard is not affected</t>
        </is>
      </c>
      <c r="C5" s="19" t="inlineStr">
        <is>
          <t>qa.instructor@rchs-qa.test / QaInstructor#2026</t>
        </is>
      </c>
      <c r="D5" s="19" t="inlineStr">
        <is>
          <t>Local test site only</t>
        </is>
      </c>
    </row>
    <row r="6">
      <c r="A6" s="19" t="inlineStr">
        <is>
          <t>Academic Affairs (Education Manager)</t>
        </is>
      </c>
      <c r="B6" s="19" t="inlineStr">
        <is>
          <t>Jameah Settings and Code Map</t>
        </is>
      </c>
      <c r="C6" s="19" t="inlineStr">
        <is>
          <t>Ask the developer</t>
        </is>
      </c>
      <c r="D6" s="19" t="inlineStr">
        <is>
          <t>Education Manager role</t>
        </is>
      </c>
    </row>
    <row r="7">
      <c r="A7" s="19" t="inlineStr">
        <is>
          <t>Administrator</t>
        </is>
      </c>
      <c r="B7" s="19" t="inlineStr">
        <is>
          <t>Error Log, e-mail account, scheduled jobs</t>
        </is>
      </c>
      <c r="C7" s="19" t="inlineStr">
        <is>
          <t>Site administrator</t>
        </is>
      </c>
      <c r="D7" s="19" t="inlineStr">
        <is>
          <t>Never use for normal test cases</t>
        </is>
      </c>
    </row>
    <row r="8">
      <c r="A8" s="19" t="inlineStr">
        <is>
          <t>Applicant</t>
        </is>
      </c>
      <c r="B8" s="19" t="inlineStr">
        <is>
          <t>Public job application form</t>
        </is>
      </c>
      <c r="C8" s="19" t="inlineStr">
        <is>
          <t>No login — use the generated link</t>
        </is>
      </c>
      <c r="D8" s="19" t="inlineStr">
        <is>
          <t>Use test e-mails, never real people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8" customWidth="1" min="1" max="1"/>
    <col width="18" customWidth="1" min="2" max="2"/>
    <col width="34" customWidth="1" min="3" max="3"/>
    <col width="80" customWidth="1" min="4" max="4"/>
    <col width="14" customWidth="1" min="5" max="5"/>
    <col width="13" customWidth="1" min="6" max="6"/>
    <col width="34" customWidth="1" min="7" max="7"/>
  </cols>
  <sheetData>
    <row r="1" ht="32" customHeight="1">
      <c r="A1" s="14" t="inlineStr">
        <is>
          <t>ID</t>
        </is>
      </c>
      <c r="B1" s="14" t="inlineStr">
        <is>
          <t>Area</t>
        </is>
      </c>
      <c r="C1" s="14" t="inlineStr">
        <is>
          <t>Check</t>
        </is>
      </c>
      <c r="D1" s="14" t="inlineStr">
        <is>
          <t>How</t>
        </is>
      </c>
      <c r="E1" s="14" t="inlineStr">
        <is>
          <t>When</t>
        </is>
      </c>
      <c r="F1" s="14" t="inlineStr">
        <is>
          <t>Done? (Yes/No)</t>
        </is>
      </c>
      <c r="G1" s="14" t="inlineStr">
        <is>
          <t>Notes</t>
        </is>
      </c>
    </row>
    <row r="2">
      <c r="A2" s="17" t="inlineStr">
        <is>
          <t>OC-01</t>
        </is>
      </c>
      <c r="B2" s="15" t="inlineStr">
        <is>
          <t>Production server</t>
        </is>
      </c>
      <c r="C2" s="19" t="inlineStr">
        <is>
          <t>Error Log on the live server</t>
        </is>
      </c>
      <c r="D2" s="19" t="inlineStr">
        <is>
          <t>Open /app/error-log on the live site; group by title; note the times. This is where the client's 'random' error will be.</t>
        </is>
      </c>
      <c r="E2" s="15" t="inlineStr">
        <is>
          <t>Before UAT</t>
        </is>
      </c>
      <c r="F2" s="20" t="inlineStr"/>
      <c r="G2" s="21" t="inlineStr"/>
    </row>
    <row r="3">
      <c r="A3" s="17" t="inlineStr">
        <is>
          <t>OC-02</t>
        </is>
      </c>
      <c r="B3" s="15" t="inlineStr">
        <is>
          <t>Production server</t>
        </is>
      </c>
      <c r="C3" s="19" t="inlineStr">
        <is>
          <t>System e-mail account</t>
        </is>
      </c>
      <c r="D3" s="19" t="inlineStr">
        <is>
          <t>Email Account 'Notifications' -&gt; re-enter the password -&gt; Save -&gt; send a test mail. Fixes 'Failed to decrypt key ...password' (seen 10 times on this copy).</t>
        </is>
      </c>
      <c r="E3" s="15" t="inlineStr">
        <is>
          <t>Before UAT</t>
        </is>
      </c>
      <c r="F3" s="20" t="inlineStr"/>
      <c r="G3" s="21" t="inlineStr"/>
    </row>
    <row r="4">
      <c r="A4" s="17" t="inlineStr">
        <is>
          <t>OC-03</t>
        </is>
      </c>
      <c r="B4" s="15" t="inlineStr">
        <is>
          <t>Production server</t>
        </is>
      </c>
      <c r="C4" s="19" t="inlineStr">
        <is>
          <t>Deploy and migrate</t>
        </is>
      </c>
      <c r="D4" s="19" t="inlineStr">
        <is>
          <t>Pull the medical_hrms branch, bench migrate, restart. Watch the migrate output for errors.</t>
        </is>
      </c>
      <c r="E4" s="15" t="inlineStr">
        <is>
          <t>Deployment</t>
        </is>
      </c>
      <c r="F4" s="20" t="inlineStr"/>
      <c r="G4" s="21" t="inlineStr"/>
    </row>
    <row r="5">
      <c r="A5" s="17" t="inlineStr">
        <is>
          <t>OC-04</t>
        </is>
      </c>
      <c r="B5" s="15" t="inlineStr">
        <is>
          <t>Production server</t>
        </is>
      </c>
      <c r="C5" s="19" t="inlineStr">
        <is>
          <t>Scheduler and long-queue worker running</t>
        </is>
      </c>
      <c r="D5" s="19" t="inlineStr">
        <is>
          <t>bench --site &lt;site&gt; doctor; the hourly Jameah refresh now runs on the long queue (~7 min), so a long-queue worker must be running.</t>
        </is>
      </c>
      <c r="E5" s="15" t="inlineStr">
        <is>
          <t>After deploy</t>
        </is>
      </c>
      <c r="F5" s="20" t="inlineStr"/>
      <c r="G5" s="21" t="inlineStr"/>
    </row>
    <row r="6">
      <c r="A6" s="17" t="inlineStr">
        <is>
          <t>OC-05</t>
        </is>
      </c>
      <c r="B6" s="15" t="inlineStr">
        <is>
          <t>Production server</t>
        </is>
      </c>
      <c r="C6" s="19" t="inlineStr">
        <is>
          <t>Logo file</t>
        </is>
      </c>
      <c r="D6" s="19" t="inlineStr">
        <is>
          <t>Open /files/rchs-logo.png on the live site; upload it again if missing.</t>
        </is>
      </c>
      <c r="E6" s="15" t="inlineStr">
        <is>
          <t>Before UAT</t>
        </is>
      </c>
      <c r="F6" s="20" t="inlineStr"/>
      <c r="G6" s="21" t="inlineStr"/>
    </row>
    <row r="7">
      <c r="A7" s="17" t="inlineStr">
        <is>
          <t>OC-06</t>
        </is>
      </c>
      <c r="B7" s="15" t="inlineStr">
        <is>
          <t>Real accounts</t>
        </is>
      </c>
      <c r="C7" s="19" t="inlineStr">
        <is>
          <t>Real HR login</t>
        </is>
      </c>
      <c r="D7" s="19" t="inlineStr">
        <is>
          <t>Log in with a real HR account (or Impersonate from Administrator) and confirm the HR Dashboard opens.</t>
        </is>
      </c>
      <c r="E7" s="15" t="inlineStr">
        <is>
          <t>After deploy</t>
        </is>
      </c>
      <c r="F7" s="20" t="inlineStr"/>
      <c r="G7" s="21" t="inlineStr"/>
    </row>
    <row r="8">
      <c r="A8" s="17" t="inlineStr">
        <is>
          <t>OC-07</t>
        </is>
      </c>
      <c r="B8" s="15" t="inlineStr">
        <is>
          <t>Real accounts</t>
        </is>
      </c>
      <c r="C8" s="19" t="inlineStr">
        <is>
          <t>Real instructor / HOD / advisor login</t>
        </is>
      </c>
      <c r="D8" s="19" t="inlineStr">
        <is>
          <t>Impersonate one of each and confirm their dashboards still open (the HR redirect must not change them).</t>
        </is>
      </c>
      <c r="E8" s="15" t="inlineStr">
        <is>
          <t>After deploy</t>
        </is>
      </c>
      <c r="F8" s="20" t="inlineStr"/>
      <c r="G8" s="21" t="inlineStr"/>
    </row>
    <row r="9">
      <c r="A9" s="17" t="inlineStr">
        <is>
          <t>OC-08</t>
        </is>
      </c>
      <c r="B9" s="15" t="inlineStr">
        <is>
          <t>Jameah</t>
        </is>
      </c>
      <c r="C9" s="19" t="inlineStr">
        <is>
          <t>Ministry view names</t>
        </is>
      </c>
      <c r="D9" s="19" t="inlineStr">
        <is>
          <t>Ask the Ministry contact which view/column names the Jameah agent reads (DEC-01).</t>
        </is>
      </c>
      <c r="E9" s="15" t="inlineStr">
        <is>
          <t>Before go-live</t>
        </is>
      </c>
      <c r="F9" s="20" t="inlineStr"/>
      <c r="G9" s="21" t="inlineStr"/>
    </row>
    <row r="10">
      <c r="A10" s="17" t="inlineStr">
        <is>
          <t>OC-09</t>
        </is>
      </c>
      <c r="B10" s="15" t="inlineStr">
        <is>
          <t>Jameah</t>
        </is>
      </c>
      <c r="C10" s="19" t="inlineStr">
        <is>
          <t>Read-only DB account</t>
        </is>
      </c>
      <c r="D10" s="19" t="inlineStr">
        <is>
          <t>Create it with grant_statements; give the Ministry the connection details.</t>
        </is>
      </c>
      <c r="E10" s="15" t="inlineStr">
        <is>
          <t>Before go-live</t>
        </is>
      </c>
      <c r="F10" s="20" t="inlineStr"/>
      <c r="G10" s="21" t="inlineStr"/>
    </row>
    <row r="11">
      <c r="A11" s="17" t="inlineStr">
        <is>
          <t>OC-10</t>
        </is>
      </c>
      <c r="B11" s="15" t="inlineStr">
        <is>
          <t>Data</t>
        </is>
      </c>
      <c r="C11" s="19" t="inlineStr">
        <is>
          <t>Settings and code decisions</t>
        </is>
      </c>
      <c r="D11" s="19" t="inlineStr">
        <is>
          <t>Get answers for DEC-02..DEC-07 from Academic Affairs and enter them (Jameah Settings, Code Map).</t>
        </is>
      </c>
      <c r="E11" s="15" t="inlineStr">
        <is>
          <t>Before go-live</t>
        </is>
      </c>
      <c r="F11" s="20" t="inlineStr"/>
      <c r="G11" s="21" t="inlineStr"/>
    </row>
    <row r="12">
      <c r="A12" s="17" t="inlineStr">
        <is>
          <t>OC-11</t>
        </is>
      </c>
      <c r="B12" s="15" t="inlineStr">
        <is>
          <t>Education repo</t>
        </is>
      </c>
      <c r="C12" s="19" t="inlineStr">
        <is>
          <t>Education branch on master</t>
        </is>
      </c>
      <c r="D12" s="19" t="inlineStr">
        <is>
          <t>The education checkout is on master and 4 commits behind origin; pull with --ff-only before testing.</t>
        </is>
      </c>
      <c r="E12" s="15" t="inlineStr">
        <is>
          <t>Now</t>
        </is>
      </c>
      <c r="F12" s="20" t="inlineStr"/>
      <c r="G12" s="21" t="inlineStr"/>
    </row>
    <row r="13">
      <c r="A13" s="17" t="inlineStr">
        <is>
          <t>OC-12</t>
        </is>
      </c>
      <c r="B13" s="15" t="inlineStr">
        <is>
          <t>Browser</t>
        </is>
      </c>
      <c r="C13" s="19" t="inlineStr">
        <is>
          <t>Arabic interface</t>
        </is>
      </c>
      <c r="D13" s="19" t="inlineStr">
        <is>
          <t>Switch to Arabic and repeat a few test cases (HR Dashboard, Employee Dashboard, application form).</t>
        </is>
      </c>
      <c r="E13" s="15" t="inlineStr">
        <is>
          <t>UAT</t>
        </is>
      </c>
      <c r="F13" s="20" t="inlineStr"/>
      <c r="G13" s="21" t="inlineStr"/>
    </row>
    <row r="14">
      <c r="A14" s="17" t="inlineStr">
        <is>
          <t>OC-13</t>
        </is>
      </c>
      <c r="B14" s="15" t="inlineStr">
        <is>
          <t>Real accounts</t>
        </is>
      </c>
      <c r="C14" s="19" t="inlineStr">
        <is>
          <t>Real non-Saudi employees</t>
        </is>
      </c>
      <c r="D14" s="19" t="inlineStr">
        <is>
          <t>As HR, open 2–3 real non-Saudi (Iqama) employees, change nothing, and check the record does not say 'Not Saved'; then edit a field and Save. This was the most likely source of the client's error.</t>
        </is>
      </c>
      <c r="E14" s="15" t="inlineStr">
        <is>
          <t>After deploy</t>
        </is>
      </c>
      <c r="F14" s="20" t="inlineStr"/>
      <c r="G14" s="21" t="inlineStr"/>
    </row>
    <row r="15">
      <c r="A15" s="17" t="inlineStr">
        <is>
          <t>OC-14</t>
        </is>
      </c>
      <c r="B15" s="15" t="inlineStr">
        <is>
          <t>Jameah</t>
        </is>
      </c>
      <c r="C15" s="19" t="inlineStr">
        <is>
          <t>Verify the views on the live server</t>
        </is>
      </c>
      <c r="D15" s="19" t="inlineStr">
        <is>
          <t>bench --site &lt;site&gt; execute medical_hrms.jameah.verify.run -&gt; all 15 views OK. Do this after the Education master update is deployed too: GPA and hours now come from Education's official calculation.</t>
        </is>
      </c>
      <c r="E15" s="15" t="inlineStr">
        <is>
          <t>After deploy</t>
        </is>
      </c>
      <c r="F15" s="20" t="inlineStr"/>
      <c r="G15" 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2026-10-21T10:28:51Z</dcterms:created>
  <dcterms:modified xsi:type="dcterms:W3CDTF">2026-10-21T10:28:51Z</dcterms:modified>
</cp:coreProperties>
</file>