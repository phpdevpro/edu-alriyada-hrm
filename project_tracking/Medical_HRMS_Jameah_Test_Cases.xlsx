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Bug Report" sheetId="4" state="visible" r:id="rId4"/>
    <sheet name="Test Accounts" sheetId="5" state="visible" r:id="rId5"/>
    <sheet name="Change Log" sheetId="6" state="visible" r:id="rId6"/>
  </sheets>
  <definedNames>
    <definedName name="_xlnm._FilterDatabase" localSheetId="2" hidden="1">'Test Cases'!$A$1:$S$130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D6B4F"/>
      <sz val="18"/>
    </font>
    <font>
      <name val="Arial"/>
      <color rgb="005D6B66"/>
      <sz val="11"/>
    </font>
    <font>
      <name val="Arial"/>
      <b val="1"/>
      <color rgb="001F2A27"/>
      <sz val="12"/>
    </font>
    <font>
      <name val="Arial"/>
      <color rgb="001F2A27"/>
      <sz val="10"/>
    </font>
    <font>
      <name val="Arial"/>
      <b val="1"/>
      <color rgb="001F2A27"/>
      <sz val="10"/>
    </font>
    <font>
      <name val="Arial"/>
      <b val="1"/>
      <color rgb="00FFFFFF"/>
      <sz val="10"/>
    </font>
    <font>
      <name val="Arial"/>
      <i val="1"/>
      <color rgb="005D6B66"/>
      <sz val="10"/>
    </font>
    <font>
      <name val="Arial"/>
      <b val="1"/>
      <color rgb="000D6B4F"/>
      <sz val="16"/>
    </font>
    <font>
      <name val="Arial"/>
      <color rgb="005D6B66"/>
      <sz val="10"/>
    </font>
  </fonts>
  <fills count="8">
    <fill>
      <patternFill/>
    </fill>
    <fill>
      <patternFill patternType="gray125"/>
    </fill>
    <fill>
      <patternFill patternType="solid">
        <fgColor rgb="00B0BEC5"/>
      </patternFill>
    </fill>
    <fill>
      <patternFill patternType="solid">
        <fgColor rgb="002E7D32"/>
      </patternFill>
    </fill>
    <fill>
      <patternFill patternType="solid">
        <fgColor rgb="00C62828"/>
      </patternFill>
    </fill>
    <fill>
      <patternFill patternType="solid">
        <fgColor rgb="00F9A825"/>
      </patternFill>
    </fill>
    <fill>
      <patternFill patternType="solid">
        <fgColor rgb="000D6B4F"/>
      </patternFill>
    </fill>
    <fill>
      <patternFill patternType="solid">
        <fgColor rgb="00FFF7D6"/>
      </patternFill>
    </fill>
  </fills>
  <borders count="2">
    <border>
      <left/>
      <right/>
      <top/>
      <bottom/>
      <diagonal/>
    </border>
    <border>
      <left style="thin">
        <color rgb="00D5DDDA"/>
      </left>
      <right style="thin">
        <color rgb="00D5DDDA"/>
      </right>
      <top style="thin">
        <color rgb="00D5DDDA"/>
      </top>
      <bottom style="thin">
        <color rgb="00D5DDDA"/>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applyAlignment="1" pivotButton="0" quotePrefix="0" xfId="0">
      <alignment wrapText="1"/>
    </xf>
    <xf numFmtId="0" fontId="5" fillId="2" borderId="0" pivotButton="0" quotePrefix="0" xfId="0"/>
    <xf numFmtId="0" fontId="6" fillId="3" borderId="0" pivotButton="0" quotePrefix="0" xfId="0"/>
    <xf numFmtId="0" fontId="6" fillId="4" borderId="0" pivotButton="0" quotePrefix="0" xfId="0"/>
    <xf numFmtId="0" fontId="5" fillId="5" borderId="0" pivotButton="0" quotePrefix="0" xfId="0"/>
    <xf numFmtId="0" fontId="8" fillId="0" borderId="0" pivotButton="0" quotePrefix="0" xfId="0"/>
    <xf numFmtId="0" fontId="9" fillId="0" borderId="0" pivotButton="0" quotePrefix="0" xfId="0"/>
    <xf numFmtId="0" fontId="6" fillId="6" borderId="1" applyAlignment="1" pivotButton="0" quotePrefix="0" xfId="0">
      <alignment vertical="center" wrapText="1"/>
    </xf>
    <xf numFmtId="0" fontId="4" fillId="0" borderId="1" applyAlignment="1" pivotButton="0" quotePrefix="0" xfId="0">
      <alignment vertical="top"/>
    </xf>
    <xf numFmtId="9" fontId="4" fillId="0" borderId="1" applyAlignment="1" pivotButton="0" quotePrefix="0" xfId="0">
      <alignment vertical="top"/>
    </xf>
    <xf numFmtId="0" fontId="5" fillId="0" borderId="1" applyAlignment="1" pivotButton="0" quotePrefix="0" xfId="0">
      <alignment vertical="top"/>
    </xf>
    <xf numFmtId="9" fontId="5" fillId="0" borderId="1" applyAlignment="1" pivotButton="0" quotePrefix="0" xfId="0">
      <alignment vertical="top"/>
    </xf>
    <xf numFmtId="0" fontId="4" fillId="0" borderId="1" applyAlignment="1" pivotButton="0" quotePrefix="0" xfId="0">
      <alignment vertical="top" wrapText="1"/>
    </xf>
    <xf numFmtId="0" fontId="4" fillId="7" borderId="1" applyAlignment="1" pivotButton="0" quotePrefix="0" xfId="0">
      <alignment vertical="top"/>
    </xf>
    <xf numFmtId="0" fontId="4" fillId="7"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cellXfs>
  <cellStyles count="1">
    <cellStyle name="Normal" xfId="0" builtinId="0" hidden="0"/>
  </cellStyles>
  <dxfs count="9">
    <dxf>
      <font>
        <b val="1"/>
        <color rgb="00FFFFFF"/>
      </font>
      <fill>
        <patternFill patternType="solid">
          <fgColor rgb="002E7D32"/>
          <bgColor rgb="002E7D32"/>
        </patternFill>
      </fill>
    </dxf>
    <dxf>
      <font>
        <b val="1"/>
        <color rgb="00FFFFFF"/>
      </font>
      <fill>
        <patternFill patternType="solid">
          <fgColor rgb="00C62828"/>
          <bgColor rgb="00C62828"/>
        </patternFill>
      </fill>
    </dxf>
    <dxf>
      <font>
        <b val="1"/>
        <color rgb="001F2A27"/>
      </font>
      <fill>
        <patternFill patternType="solid">
          <fgColor rgb="00F9A825"/>
          <bgColor rgb="00F9A825"/>
        </patternFill>
      </fill>
    </dxf>
    <dxf>
      <font>
        <b val="1"/>
        <color rgb="001F2A27"/>
      </font>
      <fill>
        <patternFill patternType="solid">
          <fgColor rgb="00B0BEC5"/>
          <bgColor rgb="00B0BEC5"/>
        </patternFill>
      </fill>
    </dxf>
    <dxf>
      <font>
        <b val="1"/>
        <color rgb="00FFFFFF"/>
      </font>
      <fill>
        <patternFill patternType="solid">
          <fgColor rgb="00B71C1C"/>
          <bgColor rgb="00B71C1C"/>
        </patternFill>
      </fill>
    </dxf>
    <dxf>
      <font>
        <b val="1"/>
        <color rgb="00FFFFFF"/>
      </font>
      <fill>
        <patternFill patternType="solid">
          <fgColor rgb="00E64A19"/>
          <bgColor rgb="00E64A19"/>
        </patternFill>
      </fill>
    </dxf>
    <dxf>
      <font>
        <b val="1"/>
        <color rgb="001F2A27"/>
      </font>
      <fill>
        <patternFill patternType="solid">
          <fgColor rgb="00FBC02D"/>
          <bgColor rgb="00FBC02D"/>
        </patternFill>
      </fill>
    </dxf>
    <dxf>
      <font>
        <b val="1"/>
        <color rgb="001F2A27"/>
      </font>
      <fill>
        <patternFill patternType="solid">
          <fgColor rgb="0090A4AE"/>
          <bgColor rgb="0090A4AE"/>
        </patternFill>
      </fill>
    </dxf>
    <dxf>
      <font>
        <b val="1"/>
        <color rgb="00FFFFFF"/>
      </font>
      <fill>
        <patternFill patternType="solid">
          <fgColor rgb="0000897B"/>
          <bgColor rgb="0000897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2"/>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1">
      <c r="B1" s="1" t="inlineStr">
        <is>
          <t>Medical HRMS &amp; Jameah — Test Cases</t>
        </is>
      </c>
    </row>
    <row r="2">
      <c r="B2" s="2" t="inlineStr">
        <is>
          <t>For the testing team · last updated 23 Oct 2026 · last automated run 23 Oct 2026 06:20 AST (95/95 browser checks passed)</t>
        </is>
      </c>
    </row>
    <row r="4">
      <c r="B4" s="3" t="inlineStr">
        <is>
          <t>How to use</t>
        </is>
      </c>
    </row>
    <row r="5" ht="30" customHeight="1">
      <c r="B5" s="4" t="inlineStr">
        <is>
          <t>1. Use the test site (not live data) and the accounts in 'Test Accounts'.</t>
        </is>
      </c>
    </row>
    <row r="6" ht="30" customHeight="1">
      <c r="B6" s="4" t="inlineStr">
        <is>
          <t>2. Work through 'Test Cases' top to bottom. Fill the yellow columns: Result, Tested By, Test Date, Actual Result / Notes, Bug ID.</t>
        </is>
      </c>
    </row>
    <row r="7" ht="30" customHeight="1">
      <c r="B7" s="4" t="inlineStr">
        <is>
          <t>3. Every Fail or error pop-up gets a row in 'Bug Report' — with the exact date and time, the page address and the exact message. The client sees an error at unknown times, so the time and page are the most important facts.</t>
        </is>
      </c>
    </row>
    <row r="8" ht="30" customHeight="1">
      <c r="B8" s="4" t="inlineStr">
        <is>
          <t>4. 'Summary' counts results by module automatically.</t>
        </is>
      </c>
    </row>
    <row r="9" ht="30" customHeight="1">
      <c r="B9" s="4" t="inlineStr">
        <is>
          <t>5. What is left to check or decide outside the test cases (live server, decisions, HR data) is in Medical_HRMS_Jameah_Checklist.xlsx in the same folder.</t>
        </is>
      </c>
    </row>
    <row r="10" ht="30" customHeight="1">
      <c r="B10" s="4" t="inlineStr">
        <is>
          <t>Every change to a case updates its 'Last updated' date and gets a line in 'Change Log' (developers: project_tracking/source, then build_all.py).</t>
        </is>
      </c>
    </row>
    <row r="12">
      <c r="B12" s="3" t="inlineStr">
        <is>
          <t>Columns</t>
        </is>
      </c>
    </row>
    <row r="13">
      <c r="B13" s="5" t="inlineStr">
        <is>
          <t>Last automated run</t>
        </is>
      </c>
      <c r="C13" s="6" t="inlineStr">
        <is>
          <t>Result of the same check in the developer's automated run (browser suite, or a tests/checks script for file / site / server-method checks). A case can pass there and still fail for you — please test it anyway.</t>
        </is>
      </c>
    </row>
    <row r="14">
      <c r="B14" s="5" t="inlineStr">
        <is>
          <t>Priority</t>
        </is>
      </c>
      <c r="C14" s="6" t="inlineStr">
        <is>
          <t>Critical: blocks go-live. High: must work for UAT. Medium / Low: fix before or soon after go-live.</t>
        </is>
      </c>
    </row>
    <row r="15">
      <c r="B15" s="5" t="inlineStr">
        <is>
          <t>Type</t>
        </is>
      </c>
      <c r="C15" s="6" t="inlineStr">
        <is>
          <t>Functional, Negative (wrong input must be refused), Security, Regression (a bug that was fixed), Usability, Monitoring, Data.</t>
        </is>
      </c>
    </row>
    <row r="17">
      <c r="B17" s="3" t="inlineStr">
        <is>
          <t>Result values</t>
        </is>
      </c>
    </row>
    <row r="18">
      <c r="B18" s="7" t="inlineStr">
        <is>
          <t>Not run</t>
        </is>
      </c>
    </row>
    <row r="19">
      <c r="B19" s="8" t="inlineStr">
        <is>
          <t>Pass</t>
        </is>
      </c>
    </row>
    <row r="20">
      <c r="B20" s="9" t="inlineStr">
        <is>
          <t>Fail</t>
        </is>
      </c>
    </row>
    <row r="21">
      <c r="B21" s="10" t="inlineStr">
        <is>
          <t>Blocked</t>
        </is>
      </c>
    </row>
    <row r="22">
      <c r="B22" s="7" t="inlineStr">
        <is>
          <t>N/A</t>
        </is>
      </c>
    </row>
  </sheetData>
  <mergeCells count="6">
    <mergeCell ref="B6:C6"/>
    <mergeCell ref="B7:C7"/>
    <mergeCell ref="B5:C5"/>
    <mergeCell ref="B10:C10"/>
    <mergeCell ref="B9:C9"/>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workbookViewId="0">
      <selection activeCell="A1" sqref="A1"/>
    </sheetView>
  </sheetViews>
  <sheetFormatPr baseColWidth="8" defaultRowHeight="15"/>
  <cols>
    <col width="32" customWidth="1" min="1" max="1"/>
    <col width="8" customWidth="1" min="2" max="2"/>
    <col width="9" customWidth="1" min="3" max="3"/>
    <col width="8" customWidth="1" min="4" max="4"/>
    <col width="8" customWidth="1" min="5" max="5"/>
    <col width="9" customWidth="1" min="6" max="6"/>
    <col width="8" customWidth="1" min="7" max="7"/>
    <col width="15" customWidth="1" min="8" max="8"/>
    <col width="15" customWidth="1" min="9" max="9"/>
  </cols>
  <sheetData>
    <row r="1">
      <c r="A1" s="11" t="inlineStr">
        <is>
          <t>Test summary</t>
        </is>
      </c>
    </row>
    <row r="2">
      <c r="A2" s="12" t="inlineStr">
        <is>
          <t>Counts are formulas over the Test Cases sheet; they update as testers fill the Result column.</t>
        </is>
      </c>
    </row>
    <row r="4" ht="32" customHeight="1">
      <c r="A4" s="13" t="inlineStr">
        <is>
          <t>Module</t>
        </is>
      </c>
      <c r="B4" s="13" t="inlineStr">
        <is>
          <t>Cases</t>
        </is>
      </c>
      <c r="C4" s="13" t="inlineStr">
        <is>
          <t>Not run</t>
        </is>
      </c>
      <c r="D4" s="13" t="inlineStr">
        <is>
          <t>Pass</t>
        </is>
      </c>
      <c r="E4" s="13" t="inlineStr">
        <is>
          <t>Fail</t>
        </is>
      </c>
      <c r="F4" s="13" t="inlineStr">
        <is>
          <t>Blocked</t>
        </is>
      </c>
      <c r="G4" s="13" t="inlineStr">
        <is>
          <t>N/A</t>
        </is>
      </c>
      <c r="H4" s="13" t="inlineStr">
        <is>
          <t>% passed (of run)</t>
        </is>
      </c>
      <c r="I4" s="13" t="inlineStr">
        <is>
          <t>Critical not passed</t>
        </is>
      </c>
    </row>
    <row r="5">
      <c r="A5" s="14" t="inlineStr">
        <is>
          <t>Login &amp; landing</t>
        </is>
      </c>
      <c r="B5" s="14">
        <f>COUNTIF('Test Cases'!$B$2:$B$330,$A5)</f>
        <v/>
      </c>
      <c r="C5" s="14">
        <f>COUNTIFS('Test Cases'!$B$2:$B$330,$A5,'Test Cases'!$M$2:$M$330,C$4)</f>
        <v/>
      </c>
      <c r="D5" s="14">
        <f>COUNTIFS('Test Cases'!$B$2:$B$330,$A5,'Test Cases'!$M$2:$M$330,D$4)</f>
        <v/>
      </c>
      <c r="E5" s="14">
        <f>COUNTIFS('Test Cases'!$B$2:$B$330,$A5,'Test Cases'!$M$2:$M$330,E$4)</f>
        <v/>
      </c>
      <c r="F5" s="14">
        <f>COUNTIFS('Test Cases'!$B$2:$B$330,$A5,'Test Cases'!$M$2:$M$330,F$4)</f>
        <v/>
      </c>
      <c r="G5" s="14">
        <f>COUNTIFS('Test Cases'!$B$2:$B$330,$A5,'Test Cases'!$M$2:$M$330,G$4)</f>
        <v/>
      </c>
      <c r="H5" s="15">
        <f>IFERROR(D5/(D5+E5+F5),"-")</f>
        <v/>
      </c>
      <c r="I5" s="14">
        <f>COUNTIFS('Test Cases'!$B$2:$B$330,$A5,'Test Cases'!$I$2:$I$330,"Critical")-COUNTIFS('Test Cases'!$B$2:$B$330,$A5,'Test Cases'!$I$2:$I$330,"Critical",'Test Cases'!$M$2:$M$330,"Pass")</f>
        <v/>
      </c>
    </row>
    <row r="6">
      <c r="A6" s="14" t="inlineStr">
        <is>
          <t>HR Dashboard</t>
        </is>
      </c>
      <c r="B6" s="14">
        <f>COUNTIF('Test Cases'!$B$2:$B$330,$A6)</f>
        <v/>
      </c>
      <c r="C6" s="14">
        <f>COUNTIFS('Test Cases'!$B$2:$B$330,$A6,'Test Cases'!$M$2:$M$330,C$4)</f>
        <v/>
      </c>
      <c r="D6" s="14">
        <f>COUNTIFS('Test Cases'!$B$2:$B$330,$A6,'Test Cases'!$M$2:$M$330,D$4)</f>
        <v/>
      </c>
      <c r="E6" s="14">
        <f>COUNTIFS('Test Cases'!$B$2:$B$330,$A6,'Test Cases'!$M$2:$M$330,E$4)</f>
        <v/>
      </c>
      <c r="F6" s="14">
        <f>COUNTIFS('Test Cases'!$B$2:$B$330,$A6,'Test Cases'!$M$2:$M$330,F$4)</f>
        <v/>
      </c>
      <c r="G6" s="14">
        <f>COUNTIFS('Test Cases'!$B$2:$B$330,$A6,'Test Cases'!$M$2:$M$330,G$4)</f>
        <v/>
      </c>
      <c r="H6" s="15">
        <f>IFERROR(D6/(D6+E6+F6),"-")</f>
        <v/>
      </c>
      <c r="I6" s="14">
        <f>COUNTIFS('Test Cases'!$B$2:$B$330,$A6,'Test Cases'!$I$2:$I$330,"Critical")-COUNTIFS('Test Cases'!$B$2:$B$330,$A6,'Test Cases'!$I$2:$I$330,"Critical",'Test Cases'!$M$2:$M$330,"Pass")</f>
        <v/>
      </c>
    </row>
    <row r="7">
      <c r="A7" s="14" t="inlineStr">
        <is>
          <t>Employee self-service</t>
        </is>
      </c>
      <c r="B7" s="14">
        <f>COUNTIF('Test Cases'!$B$2:$B$330,$A7)</f>
        <v/>
      </c>
      <c r="C7" s="14">
        <f>COUNTIFS('Test Cases'!$B$2:$B$330,$A7,'Test Cases'!$M$2:$M$330,C$4)</f>
        <v/>
      </c>
      <c r="D7" s="14">
        <f>COUNTIFS('Test Cases'!$B$2:$B$330,$A7,'Test Cases'!$M$2:$M$330,D$4)</f>
        <v/>
      </c>
      <c r="E7" s="14">
        <f>COUNTIFS('Test Cases'!$B$2:$B$330,$A7,'Test Cases'!$M$2:$M$330,E$4)</f>
        <v/>
      </c>
      <c r="F7" s="14">
        <f>COUNTIFS('Test Cases'!$B$2:$B$330,$A7,'Test Cases'!$M$2:$M$330,F$4)</f>
        <v/>
      </c>
      <c r="G7" s="14">
        <f>COUNTIFS('Test Cases'!$B$2:$B$330,$A7,'Test Cases'!$M$2:$M$330,G$4)</f>
        <v/>
      </c>
      <c r="H7" s="15">
        <f>IFERROR(D7/(D7+E7+F7),"-")</f>
        <v/>
      </c>
      <c r="I7" s="14">
        <f>COUNTIFS('Test Cases'!$B$2:$B$330,$A7,'Test Cases'!$I$2:$I$330,"Critical")-COUNTIFS('Test Cases'!$B$2:$B$330,$A7,'Test Cases'!$I$2:$I$330,"Critical",'Test Cases'!$M$2:$M$330,"Pass")</f>
        <v/>
      </c>
    </row>
    <row r="8">
      <c r="A8" s="14" t="inlineStr">
        <is>
          <t>Leave</t>
        </is>
      </c>
      <c r="B8" s="14">
        <f>COUNTIF('Test Cases'!$B$2:$B$330,$A8)</f>
        <v/>
      </c>
      <c r="C8" s="14">
        <f>COUNTIFS('Test Cases'!$B$2:$B$330,$A8,'Test Cases'!$M$2:$M$330,C$4)</f>
        <v/>
      </c>
      <c r="D8" s="14">
        <f>COUNTIFS('Test Cases'!$B$2:$B$330,$A8,'Test Cases'!$M$2:$M$330,D$4)</f>
        <v/>
      </c>
      <c r="E8" s="14">
        <f>COUNTIFS('Test Cases'!$B$2:$B$330,$A8,'Test Cases'!$M$2:$M$330,E$4)</f>
        <v/>
      </c>
      <c r="F8" s="14">
        <f>COUNTIFS('Test Cases'!$B$2:$B$330,$A8,'Test Cases'!$M$2:$M$330,F$4)</f>
        <v/>
      </c>
      <c r="G8" s="14">
        <f>COUNTIFS('Test Cases'!$B$2:$B$330,$A8,'Test Cases'!$M$2:$M$330,G$4)</f>
        <v/>
      </c>
      <c r="H8" s="15">
        <f>IFERROR(D8/(D8+E8+F8),"-")</f>
        <v/>
      </c>
      <c r="I8" s="14">
        <f>COUNTIFS('Test Cases'!$B$2:$B$330,$A8,'Test Cases'!$I$2:$I$330,"Critical")-COUNTIFS('Test Cases'!$B$2:$B$330,$A8,'Test Cases'!$I$2:$I$330,"Critical",'Test Cases'!$M$2:$M$330,"Pass")</f>
        <v/>
      </c>
    </row>
    <row r="9">
      <c r="A9" s="14" t="inlineStr">
        <is>
          <t>HR approvals</t>
        </is>
      </c>
      <c r="B9" s="14">
        <f>COUNTIF('Test Cases'!$B$2:$B$330,$A9)</f>
        <v/>
      </c>
      <c r="C9" s="14">
        <f>COUNTIFS('Test Cases'!$B$2:$B$330,$A9,'Test Cases'!$M$2:$M$330,C$4)</f>
        <v/>
      </c>
      <c r="D9" s="14">
        <f>COUNTIFS('Test Cases'!$B$2:$B$330,$A9,'Test Cases'!$M$2:$M$330,D$4)</f>
        <v/>
      </c>
      <c r="E9" s="14">
        <f>COUNTIFS('Test Cases'!$B$2:$B$330,$A9,'Test Cases'!$M$2:$M$330,E$4)</f>
        <v/>
      </c>
      <c r="F9" s="14">
        <f>COUNTIFS('Test Cases'!$B$2:$B$330,$A9,'Test Cases'!$M$2:$M$330,F$4)</f>
        <v/>
      </c>
      <c r="G9" s="14">
        <f>COUNTIFS('Test Cases'!$B$2:$B$330,$A9,'Test Cases'!$M$2:$M$330,G$4)</f>
        <v/>
      </c>
      <c r="H9" s="15">
        <f>IFERROR(D9/(D9+E9+F9),"-")</f>
        <v/>
      </c>
      <c r="I9" s="14">
        <f>COUNTIFS('Test Cases'!$B$2:$B$330,$A9,'Test Cases'!$I$2:$I$330,"Critical")-COUNTIFS('Test Cases'!$B$2:$B$330,$A9,'Test Cases'!$I$2:$I$330,"Critical",'Test Cases'!$M$2:$M$330,"Pass")</f>
        <v/>
      </c>
    </row>
    <row r="10">
      <c r="A10" s="14" t="inlineStr">
        <is>
          <t>Security &amp; privacy</t>
        </is>
      </c>
      <c r="B10" s="14">
        <f>COUNTIF('Test Cases'!$B$2:$B$330,$A10)</f>
        <v/>
      </c>
      <c r="C10" s="14">
        <f>COUNTIFS('Test Cases'!$B$2:$B$330,$A10,'Test Cases'!$M$2:$M$330,C$4)</f>
        <v/>
      </c>
      <c r="D10" s="14">
        <f>COUNTIFS('Test Cases'!$B$2:$B$330,$A10,'Test Cases'!$M$2:$M$330,D$4)</f>
        <v/>
      </c>
      <c r="E10" s="14">
        <f>COUNTIFS('Test Cases'!$B$2:$B$330,$A10,'Test Cases'!$M$2:$M$330,E$4)</f>
        <v/>
      </c>
      <c r="F10" s="14">
        <f>COUNTIFS('Test Cases'!$B$2:$B$330,$A10,'Test Cases'!$M$2:$M$330,F$4)</f>
        <v/>
      </c>
      <c r="G10" s="14">
        <f>COUNTIFS('Test Cases'!$B$2:$B$330,$A10,'Test Cases'!$M$2:$M$330,G$4)</f>
        <v/>
      </c>
      <c r="H10" s="15">
        <f>IFERROR(D10/(D10+E10+F10),"-")</f>
        <v/>
      </c>
      <c r="I10" s="14">
        <f>COUNTIFS('Test Cases'!$B$2:$B$330,$A10,'Test Cases'!$I$2:$I$330,"Critical")-COUNTIFS('Test Cases'!$B$2:$B$330,$A10,'Test Cases'!$I$2:$I$330,"Critical",'Test Cases'!$M$2:$M$330,"Pass")</f>
        <v/>
      </c>
    </row>
    <row r="11">
      <c r="A11" s="14" t="inlineStr">
        <is>
          <t>Employee master &amp; Ministry fields</t>
        </is>
      </c>
      <c r="B11" s="14">
        <f>COUNTIF('Test Cases'!$B$2:$B$330,$A11)</f>
        <v/>
      </c>
      <c r="C11" s="14">
        <f>COUNTIFS('Test Cases'!$B$2:$B$330,$A11,'Test Cases'!$M$2:$M$330,C$4)</f>
        <v/>
      </c>
      <c r="D11" s="14">
        <f>COUNTIFS('Test Cases'!$B$2:$B$330,$A11,'Test Cases'!$M$2:$M$330,D$4)</f>
        <v/>
      </c>
      <c r="E11" s="14">
        <f>COUNTIFS('Test Cases'!$B$2:$B$330,$A11,'Test Cases'!$M$2:$M$330,E$4)</f>
        <v/>
      </c>
      <c r="F11" s="14">
        <f>COUNTIFS('Test Cases'!$B$2:$B$330,$A11,'Test Cases'!$M$2:$M$330,F$4)</f>
        <v/>
      </c>
      <c r="G11" s="14">
        <f>COUNTIFS('Test Cases'!$B$2:$B$330,$A11,'Test Cases'!$M$2:$M$330,G$4)</f>
        <v/>
      </c>
      <c r="H11" s="15">
        <f>IFERROR(D11/(D11+E11+F11),"-")</f>
        <v/>
      </c>
      <c r="I11" s="14">
        <f>COUNTIFS('Test Cases'!$B$2:$B$330,$A11,'Test Cases'!$I$2:$I$330,"Critical")-COUNTIFS('Test Cases'!$B$2:$B$330,$A11,'Test Cases'!$I$2:$I$330,"Critical",'Test Cases'!$M$2:$M$330,"Pass")</f>
        <v/>
      </c>
    </row>
    <row r="12">
      <c r="A12" s="14" t="inlineStr">
        <is>
          <t>Medical licences</t>
        </is>
      </c>
      <c r="B12" s="14">
        <f>COUNTIF('Test Cases'!$B$2:$B$330,$A12)</f>
        <v/>
      </c>
      <c r="C12" s="14">
        <f>COUNTIFS('Test Cases'!$B$2:$B$330,$A12,'Test Cases'!$M$2:$M$330,C$4)</f>
        <v/>
      </c>
      <c r="D12" s="14">
        <f>COUNTIFS('Test Cases'!$B$2:$B$330,$A12,'Test Cases'!$M$2:$M$330,D$4)</f>
        <v/>
      </c>
      <c r="E12" s="14">
        <f>COUNTIFS('Test Cases'!$B$2:$B$330,$A12,'Test Cases'!$M$2:$M$330,E$4)</f>
        <v/>
      </c>
      <c r="F12" s="14">
        <f>COUNTIFS('Test Cases'!$B$2:$B$330,$A12,'Test Cases'!$M$2:$M$330,F$4)</f>
        <v/>
      </c>
      <c r="G12" s="14">
        <f>COUNTIFS('Test Cases'!$B$2:$B$330,$A12,'Test Cases'!$M$2:$M$330,G$4)</f>
        <v/>
      </c>
      <c r="H12" s="15">
        <f>IFERROR(D12/(D12+E12+F12),"-")</f>
        <v/>
      </c>
      <c r="I12" s="14">
        <f>COUNTIFS('Test Cases'!$B$2:$B$330,$A12,'Test Cases'!$I$2:$I$330,"Critical")-COUNTIFS('Test Cases'!$B$2:$B$330,$A12,'Test Cases'!$I$2:$I$330,"Critical",'Test Cases'!$M$2:$M$330,"Pass")</f>
        <v/>
      </c>
    </row>
    <row r="13">
      <c r="A13" s="14" t="inlineStr">
        <is>
          <t>Recruitment</t>
        </is>
      </c>
      <c r="B13" s="14">
        <f>COUNTIF('Test Cases'!$B$2:$B$330,$A13)</f>
        <v/>
      </c>
      <c r="C13" s="14">
        <f>COUNTIFS('Test Cases'!$B$2:$B$330,$A13,'Test Cases'!$M$2:$M$330,C$4)</f>
        <v/>
      </c>
      <c r="D13" s="14">
        <f>COUNTIFS('Test Cases'!$B$2:$B$330,$A13,'Test Cases'!$M$2:$M$330,D$4)</f>
        <v/>
      </c>
      <c r="E13" s="14">
        <f>COUNTIFS('Test Cases'!$B$2:$B$330,$A13,'Test Cases'!$M$2:$M$330,E$4)</f>
        <v/>
      </c>
      <c r="F13" s="14">
        <f>COUNTIFS('Test Cases'!$B$2:$B$330,$A13,'Test Cases'!$M$2:$M$330,F$4)</f>
        <v/>
      </c>
      <c r="G13" s="14">
        <f>COUNTIFS('Test Cases'!$B$2:$B$330,$A13,'Test Cases'!$M$2:$M$330,G$4)</f>
        <v/>
      </c>
      <c r="H13" s="15">
        <f>IFERROR(D13/(D13+E13+F13),"-")</f>
        <v/>
      </c>
      <c r="I13" s="14">
        <f>COUNTIFS('Test Cases'!$B$2:$B$330,$A13,'Test Cases'!$I$2:$I$330,"Critical")-COUNTIFS('Test Cases'!$B$2:$B$330,$A13,'Test Cases'!$I$2:$I$330,"Critical",'Test Cases'!$M$2:$M$330,"Pass")</f>
        <v/>
      </c>
    </row>
    <row r="14">
      <c r="A14" s="14" t="inlineStr">
        <is>
          <t>Academic presence</t>
        </is>
      </c>
      <c r="B14" s="14">
        <f>COUNTIF('Test Cases'!$B$2:$B$330,$A14)</f>
        <v/>
      </c>
      <c r="C14" s="14">
        <f>COUNTIFS('Test Cases'!$B$2:$B$330,$A14,'Test Cases'!$M$2:$M$330,C$4)</f>
        <v/>
      </c>
      <c r="D14" s="14">
        <f>COUNTIFS('Test Cases'!$B$2:$B$330,$A14,'Test Cases'!$M$2:$M$330,D$4)</f>
        <v/>
      </c>
      <c r="E14" s="14">
        <f>COUNTIFS('Test Cases'!$B$2:$B$330,$A14,'Test Cases'!$M$2:$M$330,E$4)</f>
        <v/>
      </c>
      <c r="F14" s="14">
        <f>COUNTIFS('Test Cases'!$B$2:$B$330,$A14,'Test Cases'!$M$2:$M$330,F$4)</f>
        <v/>
      </c>
      <c r="G14" s="14">
        <f>COUNTIFS('Test Cases'!$B$2:$B$330,$A14,'Test Cases'!$M$2:$M$330,G$4)</f>
        <v/>
      </c>
      <c r="H14" s="15">
        <f>IFERROR(D14/(D14+E14+F14),"-")</f>
        <v/>
      </c>
      <c r="I14" s="14">
        <f>COUNTIFS('Test Cases'!$B$2:$B$330,$A14,'Test Cases'!$I$2:$I$330,"Critical")-COUNTIFS('Test Cases'!$B$2:$B$330,$A14,'Test Cases'!$I$2:$I$330,"Critical",'Test Cases'!$M$2:$M$330,"Pass")</f>
        <v/>
      </c>
    </row>
    <row r="15">
      <c r="A15" s="14" t="inlineStr">
        <is>
          <t>Jameah (Ministry)</t>
        </is>
      </c>
      <c r="B15" s="14">
        <f>COUNTIF('Test Cases'!$B$2:$B$330,$A15)</f>
        <v/>
      </c>
      <c r="C15" s="14">
        <f>COUNTIFS('Test Cases'!$B$2:$B$330,$A15,'Test Cases'!$M$2:$M$330,C$4)</f>
        <v/>
      </c>
      <c r="D15" s="14">
        <f>COUNTIFS('Test Cases'!$B$2:$B$330,$A15,'Test Cases'!$M$2:$M$330,D$4)</f>
        <v/>
      </c>
      <c r="E15" s="14">
        <f>COUNTIFS('Test Cases'!$B$2:$B$330,$A15,'Test Cases'!$M$2:$M$330,E$4)</f>
        <v/>
      </c>
      <c r="F15" s="14">
        <f>COUNTIFS('Test Cases'!$B$2:$B$330,$A15,'Test Cases'!$M$2:$M$330,F$4)</f>
        <v/>
      </c>
      <c r="G15" s="14">
        <f>COUNTIFS('Test Cases'!$B$2:$B$330,$A15,'Test Cases'!$M$2:$M$330,G$4)</f>
        <v/>
      </c>
      <c r="H15" s="15">
        <f>IFERROR(D15/(D15+E15+F15),"-")</f>
        <v/>
      </c>
      <c r="I15" s="14">
        <f>COUNTIFS('Test Cases'!$B$2:$B$330,$A15,'Test Cases'!$I$2:$I$330,"Critical")-COUNTIFS('Test Cases'!$B$2:$B$330,$A15,'Test Cases'!$I$2:$I$330,"Critical",'Test Cases'!$M$2:$M$330,"Pass")</f>
        <v/>
      </c>
    </row>
    <row r="16">
      <c r="A16" s="14" t="inlineStr">
        <is>
          <t>Errors &amp; monitoring</t>
        </is>
      </c>
      <c r="B16" s="14">
        <f>COUNTIF('Test Cases'!$B$2:$B$330,$A16)</f>
        <v/>
      </c>
      <c r="C16" s="14">
        <f>COUNTIFS('Test Cases'!$B$2:$B$330,$A16,'Test Cases'!$M$2:$M$330,C$4)</f>
        <v/>
      </c>
      <c r="D16" s="14">
        <f>COUNTIFS('Test Cases'!$B$2:$B$330,$A16,'Test Cases'!$M$2:$M$330,D$4)</f>
        <v/>
      </c>
      <c r="E16" s="14">
        <f>COUNTIFS('Test Cases'!$B$2:$B$330,$A16,'Test Cases'!$M$2:$M$330,E$4)</f>
        <v/>
      </c>
      <c r="F16" s="14">
        <f>COUNTIFS('Test Cases'!$B$2:$B$330,$A16,'Test Cases'!$M$2:$M$330,F$4)</f>
        <v/>
      </c>
      <c r="G16" s="14">
        <f>COUNTIFS('Test Cases'!$B$2:$B$330,$A16,'Test Cases'!$M$2:$M$330,G$4)</f>
        <v/>
      </c>
      <c r="H16" s="15">
        <f>IFERROR(D16/(D16+E16+F16),"-")</f>
        <v/>
      </c>
      <c r="I16" s="14">
        <f>COUNTIFS('Test Cases'!$B$2:$B$330,$A16,'Test Cases'!$I$2:$I$330,"Critical")-COUNTIFS('Test Cases'!$B$2:$B$330,$A16,'Test Cases'!$I$2:$I$330,"Critical",'Test Cases'!$M$2:$M$330,"Pass")</f>
        <v/>
      </c>
    </row>
    <row r="17">
      <c r="A17" s="16" t="inlineStr">
        <is>
          <t>All modules</t>
        </is>
      </c>
      <c r="B17" s="16">
        <f>SUM(B5:B16)</f>
        <v/>
      </c>
      <c r="C17" s="16">
        <f>SUM(C5:C16)</f>
        <v/>
      </c>
      <c r="D17" s="16">
        <f>SUM(D5:D16)</f>
        <v/>
      </c>
      <c r="E17" s="16">
        <f>SUM(E5:E16)</f>
        <v/>
      </c>
      <c r="F17" s="16">
        <f>SUM(F5:F16)</f>
        <v/>
      </c>
      <c r="G17" s="16">
        <f>SUM(G5:G16)</f>
        <v/>
      </c>
      <c r="H17" s="17">
        <f>IFERROR(D17/(D17+E17+F17),"-")</f>
        <v/>
      </c>
      <c r="I17" s="16">
        <f>SUM(I5:I16)</f>
        <v/>
      </c>
    </row>
    <row r="19">
      <c r="A19" s="16" t="inlineStr">
        <is>
          <t>Last automated run (developer)</t>
        </is>
      </c>
    </row>
    <row r="20">
      <c r="A20" s="14" t="inlineStr">
        <is>
          <t>Pass</t>
        </is>
      </c>
      <c r="B20" s="14">
        <f>COUNTIF('Test Cases'!$L$2:$L$330,"Pass")</f>
        <v/>
      </c>
    </row>
    <row r="21">
      <c r="A21" s="14" t="inlineStr">
        <is>
          <t>Fail</t>
        </is>
      </c>
      <c r="B21" s="14">
        <f>COUNTIF('Test Cases'!$L$2:$L$330,"Fail")</f>
        <v/>
      </c>
    </row>
    <row r="22">
      <c r="A22" s="14" t="inlineStr">
        <is>
          <t>Manual only / unit test</t>
        </is>
      </c>
      <c r="B22" s="14">
        <f>COUNTA('Test Cases'!$L$2:$L$130)-B20-B21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2" customWidth="1" min="3" max="3"/>
    <col width="16" customWidth="1" min="4" max="4"/>
    <col width="26" customWidth="1" min="5" max="5"/>
    <col width="46" customWidth="1" min="6" max="6"/>
    <col width="16" customWidth="1" min="7" max="7"/>
    <col width="44" customWidth="1" min="8" max="8"/>
    <col width="9" customWidth="1" min="9" max="9"/>
    <col width="11" customWidth="1" min="10" max="10"/>
    <col width="13" customWidth="1" min="11" max="11"/>
    <col width="13" customWidth="1" min="12" max="12"/>
    <col width="11" customWidth="1" min="13" max="13"/>
    <col width="13" customWidth="1" min="14" max="14"/>
    <col width="12" customWidth="1" min="15" max="15"/>
    <col width="34" customWidth="1" min="16" max="16"/>
    <col width="9" customWidth="1" min="17" max="17"/>
    <col width="12" customWidth="1" min="18" max="18"/>
    <col width="12" customWidth="1" min="19" max="19"/>
  </cols>
  <sheetData>
    <row r="1" ht="32" customHeight="1">
      <c r="A1" s="13" t="inlineStr">
        <is>
          <t>TC ID</t>
        </is>
      </c>
      <c r="B1" s="13" t="inlineStr">
        <is>
          <t>Module</t>
        </is>
      </c>
      <c r="C1" s="13" t="inlineStr">
        <is>
          <t>Scenario</t>
        </is>
      </c>
      <c r="D1" s="13" t="inlineStr">
        <is>
          <t>Login / role</t>
        </is>
      </c>
      <c r="E1" s="13" t="inlineStr">
        <is>
          <t>Preconditions</t>
        </is>
      </c>
      <c r="F1" s="13" t="inlineStr">
        <is>
          <t>Steps</t>
        </is>
      </c>
      <c r="G1" s="13" t="inlineStr">
        <is>
          <t>Test data</t>
        </is>
      </c>
      <c r="H1" s="13" t="inlineStr">
        <is>
          <t>Expected result</t>
        </is>
      </c>
      <c r="I1" s="13" t="inlineStr">
        <is>
          <t>Priority</t>
        </is>
      </c>
      <c r="J1" s="13" t="inlineStr">
        <is>
          <t>Type</t>
        </is>
      </c>
      <c r="K1" s="13" t="inlineStr">
        <is>
          <t>Automated test</t>
        </is>
      </c>
      <c r="L1" s="13" t="inlineStr">
        <is>
          <t>Last automated run</t>
        </is>
      </c>
      <c r="M1" s="13" t="inlineStr">
        <is>
          <t>Result</t>
        </is>
      </c>
      <c r="N1" s="13" t="inlineStr">
        <is>
          <t>Tested by</t>
        </is>
      </c>
      <c r="O1" s="13" t="inlineStr">
        <is>
          <t>Test date</t>
        </is>
      </c>
      <c r="P1" s="13" t="inlineStr">
        <is>
          <t>Actual result / notes</t>
        </is>
      </c>
      <c r="Q1" s="13" t="inlineStr">
        <is>
          <t>Bug ID</t>
        </is>
      </c>
      <c r="R1" s="13" t="inlineStr">
        <is>
          <t>Added on</t>
        </is>
      </c>
      <c r="S1" s="13" t="inlineStr">
        <is>
          <t>Last updated</t>
        </is>
      </c>
    </row>
    <row r="2">
      <c r="A2" s="16" t="inlineStr">
        <is>
          <t>TC-LGN-01</t>
        </is>
      </c>
      <c r="B2" s="14" t="inlineStr">
        <is>
          <t>Login &amp; landing</t>
        </is>
      </c>
      <c r="C2" s="18" t="inlineStr">
        <is>
          <t>HR Manager lands on the HR Dashboard</t>
        </is>
      </c>
      <c r="D2" s="14" t="inlineStr">
        <is>
          <t>HR Manager</t>
        </is>
      </c>
      <c r="E2" s="18" t="inlineStr">
        <is>
          <t>HR Manager login exists.</t>
        </is>
      </c>
      <c r="F2" s="18" t="inlineStr">
        <is>
          <t>1. Open /login.
2. Enter HR Manager e-mail and password.
3. Click Login.</t>
        </is>
      </c>
      <c r="G2" s="18" t="inlineStr">
        <is>
          <t>HR Manager account</t>
        </is>
      </c>
      <c r="H2" s="18" t="inlineStr">
        <is>
          <t>The HR Dashboard opens (/app/hr-dashboard) showing 'Welcome back, HR Team'. No error pop-up.</t>
        </is>
      </c>
      <c r="I2" s="14" t="inlineStr">
        <is>
          <t>Critical</t>
        </is>
      </c>
      <c r="J2" s="14" t="inlineStr">
        <is>
          <t>Functional</t>
        </is>
      </c>
      <c r="K2" s="14" t="inlineStr">
        <is>
          <t>LGN-01</t>
        </is>
      </c>
      <c r="L2" s="14" t="inlineStr">
        <is>
          <t>Pass</t>
        </is>
      </c>
      <c r="M2" s="19" t="inlineStr">
        <is>
          <t>Not run</t>
        </is>
      </c>
      <c r="N2" s="19" t="inlineStr"/>
      <c r="O2" s="19" t="inlineStr"/>
      <c r="P2" s="20" t="inlineStr"/>
      <c r="Q2" s="19" t="inlineStr"/>
      <c r="R2" s="14" t="inlineStr">
        <is>
          <t>21 Oct 2026</t>
        </is>
      </c>
      <c r="S2" s="14" t="inlineStr">
        <is>
          <t>21 Oct 2026</t>
        </is>
      </c>
    </row>
    <row r="3">
      <c r="A3" s="16" t="inlineStr">
        <is>
          <t>TC-LGN-02</t>
        </is>
      </c>
      <c r="B3" s="14" t="inlineStr">
        <is>
          <t>Login &amp; landing</t>
        </is>
      </c>
      <c r="C3" s="18" t="inlineStr">
        <is>
          <t>HR User lands on the HR Dashboard</t>
        </is>
      </c>
      <c r="D3" s="14" t="inlineStr">
        <is>
          <t>HR User</t>
        </is>
      </c>
      <c r="E3" s="18" t="inlineStr">
        <is>
          <t>HR User login exists.</t>
        </is>
      </c>
      <c r="F3" s="18" t="inlineStr">
        <is>
          <t>Same as TC-LGN-01 with the HR User account.</t>
        </is>
      </c>
      <c r="G3" s="18" t="inlineStr">
        <is>
          <t>HR User account</t>
        </is>
      </c>
      <c r="H3" s="18" t="inlineStr">
        <is>
          <t>HR Dashboard opens.</t>
        </is>
      </c>
      <c r="I3" s="14" t="inlineStr">
        <is>
          <t>High</t>
        </is>
      </c>
      <c r="J3" s="14" t="inlineStr">
        <is>
          <t>Functional</t>
        </is>
      </c>
      <c r="K3" s="14" t="inlineStr">
        <is>
          <t>LGN-02</t>
        </is>
      </c>
      <c r="L3" s="14" t="inlineStr">
        <is>
          <t>Pass</t>
        </is>
      </c>
      <c r="M3" s="19" t="inlineStr">
        <is>
          <t>Not run</t>
        </is>
      </c>
      <c r="N3" s="19" t="inlineStr"/>
      <c r="O3" s="19" t="inlineStr"/>
      <c r="P3" s="20" t="inlineStr"/>
      <c r="Q3" s="19" t="inlineStr"/>
      <c r="R3" s="14" t="inlineStr">
        <is>
          <t>21 Oct 2026</t>
        </is>
      </c>
      <c r="S3" s="14" t="inlineStr">
        <is>
          <t>21 Oct 2026</t>
        </is>
      </c>
    </row>
    <row r="4">
      <c r="A4" s="16" t="inlineStr">
        <is>
          <t>TC-LGN-03</t>
        </is>
      </c>
      <c r="B4" s="14" t="inlineStr">
        <is>
          <t>Login &amp; landing</t>
        </is>
      </c>
      <c r="C4" s="18" t="inlineStr">
        <is>
          <t>Employee lands on the Employee Dashboard</t>
        </is>
      </c>
      <c r="D4" s="14" t="inlineStr">
        <is>
          <t>Employee</t>
        </is>
      </c>
      <c r="E4" s="18" t="inlineStr">
        <is>
          <t>Employee login linked to an Employee record.</t>
        </is>
      </c>
      <c r="F4" s="18" t="inlineStr">
        <is>
          <t>Log in as the employee.</t>
        </is>
      </c>
      <c r="G4" s="18" t="inlineStr">
        <is>
          <t>Employee account</t>
        </is>
      </c>
      <c r="H4" s="18" t="inlineStr">
        <is>
          <t>Employee Dashboard opens with their name and Employee ID.</t>
        </is>
      </c>
      <c r="I4" s="14" t="inlineStr">
        <is>
          <t>Critical</t>
        </is>
      </c>
      <c r="J4" s="14" t="inlineStr">
        <is>
          <t>Functional</t>
        </is>
      </c>
      <c r="K4" s="14" t="inlineStr">
        <is>
          <t>LGN-03</t>
        </is>
      </c>
      <c r="L4" s="14" t="inlineStr">
        <is>
          <t>Pass</t>
        </is>
      </c>
      <c r="M4" s="19" t="inlineStr">
        <is>
          <t>Not run</t>
        </is>
      </c>
      <c r="N4" s="19" t="inlineStr"/>
      <c r="O4" s="19" t="inlineStr"/>
      <c r="P4" s="20" t="inlineStr"/>
      <c r="Q4" s="19" t="inlineStr"/>
      <c r="R4" s="14" t="inlineStr">
        <is>
          <t>21 Oct 2026</t>
        </is>
      </c>
      <c r="S4" s="14" t="inlineStr">
        <is>
          <t>21 Oct 2026</t>
        </is>
      </c>
    </row>
    <row r="5">
      <c r="A5" s="16" t="inlineStr">
        <is>
          <t>TC-LGN-04</t>
        </is>
      </c>
      <c r="B5" s="14" t="inlineStr">
        <is>
          <t>Login &amp; landing</t>
        </is>
      </c>
      <c r="C5" s="18" t="inlineStr">
        <is>
          <t>Instructor keeps the Instructor dashboard</t>
        </is>
      </c>
      <c r="D5" s="14" t="inlineStr">
        <is>
          <t>Instructor</t>
        </is>
      </c>
      <c r="E5" s="18" t="inlineStr">
        <is>
          <t>Instructor login.</t>
        </is>
      </c>
      <c r="F5" s="18" t="inlineStr">
        <is>
          <t>Log in as the instructor.</t>
        </is>
      </c>
      <c r="G5" s="18" t="inlineStr">
        <is>
          <t>Instructor account</t>
        </is>
      </c>
      <c r="H5" s="18" t="inlineStr">
        <is>
          <t>Instructor Portal opens (not the HR or Employee dashboard).</t>
        </is>
      </c>
      <c r="I5" s="14" t="inlineStr">
        <is>
          <t>High</t>
        </is>
      </c>
      <c r="J5" s="14" t="inlineStr">
        <is>
          <t>Regression</t>
        </is>
      </c>
      <c r="K5" s="14" t="inlineStr">
        <is>
          <t>LGN-04</t>
        </is>
      </c>
      <c r="L5" s="14" t="inlineStr">
        <is>
          <t>Pass</t>
        </is>
      </c>
      <c r="M5" s="19" t="inlineStr">
        <is>
          <t>Not run</t>
        </is>
      </c>
      <c r="N5" s="19" t="inlineStr"/>
      <c r="O5" s="19" t="inlineStr"/>
      <c r="P5" s="20" t="inlineStr"/>
      <c r="Q5" s="19" t="inlineStr"/>
      <c r="R5" s="14" t="inlineStr">
        <is>
          <t>21 Oct 2026</t>
        </is>
      </c>
      <c r="S5" s="14" t="inlineStr">
        <is>
          <t>21 Oct 2026</t>
        </is>
      </c>
    </row>
    <row r="6">
      <c r="A6" s="16" t="inlineStr">
        <is>
          <t>TC-LGN-05</t>
        </is>
      </c>
      <c r="B6" s="14" t="inlineStr">
        <is>
          <t>Login &amp; landing</t>
        </is>
      </c>
      <c r="C6" s="18" t="inlineStr">
        <is>
          <t>Opening /app again returns to the user's dashboard</t>
        </is>
      </c>
      <c r="D6" s="14" t="inlineStr">
        <is>
          <t>HR Manager</t>
        </is>
      </c>
      <c r="E6" s="18" t="inlineStr">
        <is>
          <t>Logged in.</t>
        </is>
      </c>
      <c r="F6" s="18" t="inlineStr">
        <is>
          <t>1. Open a new browser tab.
2. Go to /app.</t>
        </is>
      </c>
      <c r="G6" s="18" t="inlineStr">
        <is>
          <t>—</t>
        </is>
      </c>
      <c r="H6" s="18" t="inlineStr">
        <is>
          <t>The same dashboard opens again.</t>
        </is>
      </c>
      <c r="I6" s="14" t="inlineStr">
        <is>
          <t>Medium</t>
        </is>
      </c>
      <c r="J6" s="14" t="inlineStr">
        <is>
          <t>Functional</t>
        </is>
      </c>
      <c r="K6" s="14" t="inlineStr">
        <is>
          <t>LGN-01..04</t>
        </is>
      </c>
      <c r="L6" s="14" t="inlineStr">
        <is>
          <t>Pass</t>
        </is>
      </c>
      <c r="M6" s="19" t="inlineStr">
        <is>
          <t>Not run</t>
        </is>
      </c>
      <c r="N6" s="19" t="inlineStr"/>
      <c r="O6" s="19" t="inlineStr"/>
      <c r="P6" s="20" t="inlineStr"/>
      <c r="Q6" s="19" t="inlineStr"/>
      <c r="R6" s="14" t="inlineStr">
        <is>
          <t>21 Oct 2026</t>
        </is>
      </c>
      <c r="S6" s="14" t="inlineStr">
        <is>
          <t>21 Oct 2026</t>
        </is>
      </c>
    </row>
    <row r="7">
      <c r="A7" s="16" t="inlineStr">
        <is>
          <t>TC-LGN-06</t>
        </is>
      </c>
      <c r="B7" s="14" t="inlineStr">
        <is>
          <t>Login &amp; landing</t>
        </is>
      </c>
      <c r="C7" s="18" t="inlineStr">
        <is>
          <t>Wrong password</t>
        </is>
      </c>
      <c r="D7" s="14" t="inlineStr">
        <is>
          <t>Applicant (not logged in)</t>
        </is>
      </c>
      <c r="E7" s="18" t="inlineStr">
        <is>
          <t>—</t>
        </is>
      </c>
      <c r="F7" s="18" t="inlineStr">
        <is>
          <t>1. Open /login.
2. Enter a valid e-mail and a wrong password.
3. Click Login.</t>
        </is>
      </c>
      <c r="G7" s="18" t="inlineStr">
        <is>
          <t>Wrong password</t>
        </is>
      </c>
      <c r="H7" s="18" t="inlineStr">
        <is>
          <t>An 'invalid login' message; stays on the login page.</t>
        </is>
      </c>
      <c r="I7" s="14" t="inlineStr">
        <is>
          <t>Medium</t>
        </is>
      </c>
      <c r="J7" s="14" t="inlineStr">
        <is>
          <t>Negative</t>
        </is>
      </c>
      <c r="K7" s="14" t="inlineStr">
        <is>
          <t>LGN-05</t>
        </is>
      </c>
      <c r="L7" s="14" t="inlineStr">
        <is>
          <t>Pass</t>
        </is>
      </c>
      <c r="M7" s="19" t="inlineStr">
        <is>
          <t>Not run</t>
        </is>
      </c>
      <c r="N7" s="19" t="inlineStr"/>
      <c r="O7" s="19" t="inlineStr"/>
      <c r="P7" s="20" t="inlineStr"/>
      <c r="Q7" s="19" t="inlineStr"/>
      <c r="R7" s="14" t="inlineStr">
        <is>
          <t>21 Oct 2026</t>
        </is>
      </c>
      <c r="S7" s="14" t="inlineStr">
        <is>
          <t>21 Oct 2026</t>
        </is>
      </c>
    </row>
    <row r="8">
      <c r="A8" s="16" t="inlineStr">
        <is>
          <t>TC-LGN-07</t>
        </is>
      </c>
      <c r="B8" s="14" t="inlineStr">
        <is>
          <t>Login &amp; landing</t>
        </is>
      </c>
      <c r="C8" s="18" t="inlineStr">
        <is>
          <t>Logout and log in as a different role</t>
        </is>
      </c>
      <c r="D8" s="14" t="inlineStr">
        <is>
          <t>HR Manager</t>
        </is>
      </c>
      <c r="E8" s="18" t="inlineStr">
        <is>
          <t>Logged in as HR.</t>
        </is>
      </c>
      <c r="F8" s="18" t="inlineStr">
        <is>
          <t>1. Log out.
2. Log in as an employee.</t>
        </is>
      </c>
      <c r="G8" s="18" t="inlineStr">
        <is>
          <t>Two accounts</t>
        </is>
      </c>
      <c r="H8" s="18" t="inlineStr">
        <is>
          <t>Employee lands on the Employee Dashboard; no HR pages are shown.</t>
        </is>
      </c>
      <c r="I8" s="14" t="inlineStr">
        <is>
          <t>Medium</t>
        </is>
      </c>
      <c r="J8" s="14" t="inlineStr">
        <is>
          <t>Functional</t>
        </is>
      </c>
      <c r="K8" s="14" t="inlineStr">
        <is>
          <t>—</t>
        </is>
      </c>
      <c r="L8" s="14" t="inlineStr">
        <is>
          <t>Manual only</t>
        </is>
      </c>
      <c r="M8" s="19" t="inlineStr">
        <is>
          <t>Not run</t>
        </is>
      </c>
      <c r="N8" s="19" t="inlineStr"/>
      <c r="O8" s="19" t="inlineStr"/>
      <c r="P8" s="20" t="inlineStr"/>
      <c r="Q8" s="19" t="inlineStr"/>
      <c r="R8" s="14" t="inlineStr">
        <is>
          <t>21 Oct 2026</t>
        </is>
      </c>
      <c r="S8" s="14" t="inlineStr">
        <is>
          <t>21 Oct 2026</t>
        </is>
      </c>
    </row>
    <row r="9">
      <c r="A9" s="16" t="inlineStr">
        <is>
          <t>TC-LGN-08</t>
        </is>
      </c>
      <c r="B9" s="14" t="inlineStr">
        <is>
          <t>Login &amp; landing</t>
        </is>
      </c>
      <c r="C9" s="18" t="inlineStr">
        <is>
          <t>Breadcrumbs never lead to 'Not permitted'</t>
        </is>
      </c>
      <c r="D9" s="14" t="inlineStr">
        <is>
          <t>Employee</t>
        </is>
      </c>
      <c r="E9" s="18" t="inlineStr">
        <is>
          <t>Logged in as an employee.</t>
        </is>
      </c>
      <c r="F9" s="18" t="inlineStr">
        <is>
          <t>1. Open the Employee Dashboard, Leave Application list and a request list.
2. Click every link in the top bar next to the logo (breadcrumbs).</t>
        </is>
      </c>
      <c r="G9" s="18" t="inlineStr">
        <is>
          <t>—</t>
        </is>
      </c>
      <c r="H9" s="18" t="inlineStr">
        <is>
          <t>Each breadcrumb opens a page the employee can see (e.g. Employee Self Service). Never 'Not permitted'.</t>
        </is>
      </c>
      <c r="I9" s="14" t="inlineStr">
        <is>
          <t>High</t>
        </is>
      </c>
      <c r="J9" s="14" t="inlineStr">
        <is>
          <t>Regression</t>
        </is>
      </c>
      <c r="K9" s="14" t="inlineStr">
        <is>
          <t>NAV-01</t>
        </is>
      </c>
      <c r="L9" s="14" t="inlineStr">
        <is>
          <t>Pass</t>
        </is>
      </c>
      <c r="M9" s="19" t="inlineStr">
        <is>
          <t>Not run</t>
        </is>
      </c>
      <c r="N9" s="19" t="inlineStr"/>
      <c r="O9" s="19" t="inlineStr"/>
      <c r="P9" s="20" t="inlineStr"/>
      <c r="Q9" s="19" t="inlineStr"/>
      <c r="R9" s="14" t="inlineStr">
        <is>
          <t>21 Oct 2026</t>
        </is>
      </c>
      <c r="S9" s="14" t="inlineStr">
        <is>
          <t>21 Oct 2026</t>
        </is>
      </c>
    </row>
    <row r="10">
      <c r="A10" s="16" t="inlineStr">
        <is>
          <t>TC-LGN-09</t>
        </is>
      </c>
      <c r="B10" s="14" t="inlineStr">
        <is>
          <t>Login &amp; landing</t>
        </is>
      </c>
      <c r="C10" s="18" t="inlineStr">
        <is>
          <t>HR breadcrumbs</t>
        </is>
      </c>
      <c r="D10" s="14" t="inlineStr">
        <is>
          <t>HR Manager</t>
        </is>
      </c>
      <c r="E10" s="18" t="inlineStr">
        <is>
          <t>Logged in as HR.</t>
        </is>
      </c>
      <c r="F10" s="18" t="inlineStr">
        <is>
          <t>Same as TC-LGN-08 as HR.</t>
        </is>
      </c>
      <c r="G10" s="18" t="inlineStr">
        <is>
          <t>—</t>
        </is>
      </c>
      <c r="H10" s="18" t="inlineStr">
        <is>
          <t>Breadcrumbs open (Medical HRMS, HR...).</t>
        </is>
      </c>
      <c r="I10" s="14" t="inlineStr">
        <is>
          <t>Medium</t>
        </is>
      </c>
      <c r="J10" s="14" t="inlineStr">
        <is>
          <t>Regression</t>
        </is>
      </c>
      <c r="K10" s="14" t="inlineStr">
        <is>
          <t>NAV-02</t>
        </is>
      </c>
      <c r="L10" s="14" t="inlineStr">
        <is>
          <t>Pass</t>
        </is>
      </c>
      <c r="M10" s="19" t="inlineStr">
        <is>
          <t>Not run</t>
        </is>
      </c>
      <c r="N10" s="19" t="inlineStr"/>
      <c r="O10" s="19" t="inlineStr"/>
      <c r="P10" s="20" t="inlineStr"/>
      <c r="Q10" s="19" t="inlineStr"/>
      <c r="R10" s="14" t="inlineStr">
        <is>
          <t>21 Oct 2026</t>
        </is>
      </c>
      <c r="S10" s="14" t="inlineStr">
        <is>
          <t>21 Oct 2026</t>
        </is>
      </c>
    </row>
    <row r="11">
      <c r="A11" s="16" t="inlineStr">
        <is>
          <t>TC-LGN-10</t>
        </is>
      </c>
      <c r="B11" s="14" t="inlineStr">
        <is>
          <t>Login &amp; landing</t>
        </is>
      </c>
      <c r="C11" s="18" t="inlineStr">
        <is>
          <t>New portal design: menu, top bar, heading</t>
        </is>
      </c>
      <c r="D11" s="14" t="inlineStr">
        <is>
          <t>HR Manager</t>
        </is>
      </c>
      <c r="E11" s="18" t="inlineStr">
        <is>
          <t>Logged in as HR.</t>
        </is>
      </c>
      <c r="F11" s="18" t="inlineStr">
        <is>
          <t>1. Look at the left menu, the top bar and the heading.
2. Open each menu section (Employee Requests, Leave ...) and a few pages from it.
3. Click 'Collapse menu', then expand it again.</t>
        </is>
      </c>
      <c r="G11" s="18" t="inlineStr">
        <is>
          <t>—</t>
        </is>
      </c>
      <c r="H11" s="18" t="inlineStr">
        <is>
          <t>Same style as the Instructor Portal: dark-green menu with sections, breadcrumb 'HR Portal / Dashboard', EN/AR, moon icon, bell and initials on the top bar. Every menu page opens (no 'Not permitted').</t>
        </is>
      </c>
      <c r="I11" s="14" t="inlineStr">
        <is>
          <t>High</t>
        </is>
      </c>
      <c r="J11" s="14" t="inlineStr">
        <is>
          <t>Functional</t>
        </is>
      </c>
      <c r="K11" s="14" t="inlineStr">
        <is>
          <t>HRD-03</t>
        </is>
      </c>
      <c r="L11" s="14" t="inlineStr">
        <is>
          <t>Pass</t>
        </is>
      </c>
      <c r="M11" s="19" t="inlineStr">
        <is>
          <t>Not run</t>
        </is>
      </c>
      <c r="N11" s="19" t="inlineStr"/>
      <c r="O11" s="19" t="inlineStr"/>
      <c r="P11" s="20" t="inlineStr"/>
      <c r="Q11" s="19" t="inlineStr"/>
      <c r="R11" s="14" t="inlineStr">
        <is>
          <t>21 Oct 2026</t>
        </is>
      </c>
      <c r="S11" s="14" t="inlineStr">
        <is>
          <t>21 Oct 2026</t>
        </is>
      </c>
    </row>
    <row r="12">
      <c r="A12" s="16" t="inlineStr">
        <is>
          <t>TC-LGN-11</t>
        </is>
      </c>
      <c r="B12" s="14" t="inlineStr">
        <is>
          <t>Login &amp; landing</t>
        </is>
      </c>
      <c r="C12" s="18" t="inlineStr">
        <is>
          <t>Employee Portal menu actions</t>
        </is>
      </c>
      <c r="D12" s="14" t="inlineStr">
        <is>
          <t>Employee</t>
        </is>
      </c>
      <c r="E12" s="18" t="inlineStr">
        <is>
          <t>Logged in as an employee.</t>
        </is>
      </c>
      <c r="F12" s="18" t="inlineStr">
        <is>
          <t>1. Menu &gt; New Request &gt; Permission Request.
2. Menu &gt; My Leave and Recent Requests.
3. Menu &gt; My Profile.</t>
        </is>
      </c>
      <c r="G12" s="18" t="inlineStr">
        <is>
          <t>—</t>
        </is>
      </c>
      <c r="H12" s="18" t="inlineStr">
        <is>
          <t>1 opens the Permission Request form; 2 scrolls to that section; 3 shows your profile. No HR entries in the menu.</t>
        </is>
      </c>
      <c r="I12" s="14" t="inlineStr">
        <is>
          <t>High</t>
        </is>
      </c>
      <c r="J12" s="14" t="inlineStr">
        <is>
          <t>Functional</t>
        </is>
      </c>
      <c r="K12" s="14" t="inlineStr">
        <is>
          <t>SHL-01</t>
        </is>
      </c>
      <c r="L12" s="14" t="inlineStr">
        <is>
          <t>Pass</t>
        </is>
      </c>
      <c r="M12" s="19" t="inlineStr">
        <is>
          <t>Not run</t>
        </is>
      </c>
      <c r="N12" s="19" t="inlineStr"/>
      <c r="O12" s="19" t="inlineStr"/>
      <c r="P12" s="20" t="inlineStr"/>
      <c r="Q12" s="19" t="inlineStr"/>
      <c r="R12" s="14" t="inlineStr">
        <is>
          <t>21 Oct 2026</t>
        </is>
      </c>
      <c r="S12" s="14" t="inlineStr">
        <is>
          <t>21 Oct 2026</t>
        </is>
      </c>
    </row>
    <row r="13">
      <c r="A13" s="16" t="inlineStr">
        <is>
          <t>TC-LGN-12</t>
        </is>
      </c>
      <c r="B13" s="14" t="inlineStr">
        <is>
          <t>Login &amp; landing</t>
        </is>
      </c>
      <c r="C13" s="18" t="inlineStr">
        <is>
          <t>Dark mode and Arabic from the top bar</t>
        </is>
      </c>
      <c r="D13" s="14" t="inlineStr">
        <is>
          <t>Employee</t>
        </is>
      </c>
      <c r="E13" s="18" t="inlineStr">
        <is>
          <t>Logged in.</t>
        </is>
      </c>
      <c r="F13" s="18" t="inlineStr">
        <is>
          <t>1. Click the moon icon; click it again.
2. Click AR; check the page; click EN.</t>
        </is>
      </c>
      <c r="G13" s="18" t="inlineStr">
        <is>
          <t>—</t>
        </is>
      </c>
      <c r="H13" s="18" t="inlineStr">
        <is>
          <t>Dark mode switches on and off. In Arabic the menu moves to the right and labels are in Arabic; EN switches back.</t>
        </is>
      </c>
      <c r="I13" s="14" t="inlineStr">
        <is>
          <t>Medium</t>
        </is>
      </c>
      <c r="J13" s="14" t="inlineStr">
        <is>
          <t>Functional</t>
        </is>
      </c>
      <c r="K13" s="14" t="inlineStr">
        <is>
          <t>SHL-05</t>
        </is>
      </c>
      <c r="L13" s="14" t="inlineStr">
        <is>
          <t>Pass</t>
        </is>
      </c>
      <c r="M13" s="19" t="inlineStr">
        <is>
          <t>Not run</t>
        </is>
      </c>
      <c r="N13" s="19" t="inlineStr"/>
      <c r="O13" s="19" t="inlineStr"/>
      <c r="P13" s="20" t="inlineStr"/>
      <c r="Q13" s="19" t="inlineStr"/>
      <c r="R13" s="14" t="inlineStr">
        <is>
          <t>21 Oct 2026</t>
        </is>
      </c>
      <c r="S13" s="14" t="inlineStr">
        <is>
          <t>21 Oct 2026</t>
        </is>
      </c>
    </row>
    <row r="14">
      <c r="A14" s="16" t="inlineStr">
        <is>
          <t>TC-LGN-13</t>
        </is>
      </c>
      <c r="B14" s="14" t="inlineStr">
        <is>
          <t>Login &amp; landing</t>
        </is>
      </c>
      <c r="C14" s="18" t="inlineStr">
        <is>
          <t>Leaving the portal and coming back</t>
        </is>
      </c>
      <c r="D14" s="14" t="inlineStr">
        <is>
          <t>HR Manager</t>
        </is>
      </c>
      <c r="E14" s="18" t="inlineStr">
        <is>
          <t>Logged in as HR.</t>
        </is>
      </c>
      <c r="F14" s="18" t="inlineStr">
        <is>
          <t>1. Menu &gt; HR Transactions &gt; Expense Claim.
2. Use the browser Back button.</t>
        </is>
      </c>
      <c r="G14" s="18" t="inlineStr">
        <is>
          <t>—</t>
        </is>
      </c>
      <c r="H14" s="18" t="inlineStr">
        <is>
          <t>The Expense Claim list opens in the standard view with the normal top bar; Back returns to the portal.</t>
        </is>
      </c>
      <c r="I14" s="14" t="inlineStr">
        <is>
          <t>Medium</t>
        </is>
      </c>
      <c r="J14" s="14" t="inlineStr">
        <is>
          <t>Functional</t>
        </is>
      </c>
      <c r="K14" s="14" t="inlineStr">
        <is>
          <t>SHL-03</t>
        </is>
      </c>
      <c r="L14" s="14" t="inlineStr">
        <is>
          <t>Pass</t>
        </is>
      </c>
      <c r="M14" s="19" t="inlineStr">
        <is>
          <t>Not run</t>
        </is>
      </c>
      <c r="N14" s="19" t="inlineStr"/>
      <c r="O14" s="19" t="inlineStr"/>
      <c r="P14" s="20" t="inlineStr"/>
      <c r="Q14" s="19" t="inlineStr"/>
      <c r="R14" s="14" t="inlineStr">
        <is>
          <t>21 Oct 2026</t>
        </is>
      </c>
      <c r="S14" s="14" t="inlineStr">
        <is>
          <t>21 Oct 2026</t>
        </is>
      </c>
    </row>
    <row r="15">
      <c r="A15" s="16" t="inlineStr">
        <is>
          <t>TC-LGN-14</t>
        </is>
      </c>
      <c r="B15" s="14" t="inlineStr">
        <is>
          <t>Login &amp; landing</t>
        </is>
      </c>
      <c r="C15" s="18" t="inlineStr">
        <is>
          <t>Portal on a phone</t>
        </is>
      </c>
      <c r="D15" s="14" t="inlineStr">
        <is>
          <t>Employee</t>
        </is>
      </c>
      <c r="E15" s="18" t="inlineStr">
        <is>
          <t>Phone or narrow browser window.</t>
        </is>
      </c>
      <c r="F15" s="18" t="inlineStr">
        <is>
          <t>1. Open the dashboard on a phone.
2. Tap the menu button (three lines) and pick an entry.</t>
        </is>
      </c>
      <c r="G15" s="18" t="inlineStr">
        <is>
          <t>—</t>
        </is>
      </c>
      <c r="H15" s="18" t="inlineStr">
        <is>
          <t>Cards stack in two columns, no sideways scrolling; the menu slides in and closes after a tap.</t>
        </is>
      </c>
      <c r="I15" s="14" t="inlineStr">
        <is>
          <t>Medium</t>
        </is>
      </c>
      <c r="J15" s="14" t="inlineStr">
        <is>
          <t>Functional</t>
        </is>
      </c>
      <c r="K15" s="14" t="inlineStr">
        <is>
          <t>—</t>
        </is>
      </c>
      <c r="L15" s="14" t="inlineStr">
        <is>
          <t>Manual only</t>
        </is>
      </c>
      <c r="M15" s="19" t="inlineStr">
        <is>
          <t>Not run</t>
        </is>
      </c>
      <c r="N15" s="19" t="inlineStr"/>
      <c r="O15" s="19" t="inlineStr"/>
      <c r="P15" s="20" t="inlineStr"/>
      <c r="Q15" s="19" t="inlineStr"/>
      <c r="R15" s="14" t="inlineStr">
        <is>
          <t>21 Oct 2026</t>
        </is>
      </c>
      <c r="S15" s="14" t="inlineStr">
        <is>
          <t>21 Oct 2026</t>
        </is>
      </c>
    </row>
    <row r="16">
      <c r="A16" s="16" t="inlineStr">
        <is>
          <t>TC-HRD-01</t>
        </is>
      </c>
      <c r="B16" s="14" t="inlineStr">
        <is>
          <t>HR Dashboard</t>
        </is>
      </c>
      <c r="C16" s="18" t="inlineStr">
        <is>
          <t>Stat cards show numbers</t>
        </is>
      </c>
      <c r="D16" s="14" t="inlineStr">
        <is>
          <t>HR Manager</t>
        </is>
      </c>
      <c r="E16" s="18" t="inlineStr">
        <is>
          <t>Logged in as HR.</t>
        </is>
      </c>
      <c r="F16" s="18" t="inlineStr">
        <is>
          <t>Look at the four cards at the top.</t>
        </is>
      </c>
      <c r="G16" s="18" t="inlineStr">
        <is>
          <t>—</t>
        </is>
      </c>
      <c r="H16" s="18" t="inlineStr">
        <is>
          <t>Total Employees, Pending Training, Pending Allowance and Active Licenses show numbers (no 'NaN', no error).</t>
        </is>
      </c>
      <c r="I16" s="14" t="inlineStr">
        <is>
          <t>High</t>
        </is>
      </c>
      <c r="J16" s="14" t="inlineStr">
        <is>
          <t>Functional</t>
        </is>
      </c>
      <c r="K16" s="14" t="inlineStr">
        <is>
          <t>HRD-02</t>
        </is>
      </c>
      <c r="L16" s="14" t="inlineStr">
        <is>
          <t>Pass</t>
        </is>
      </c>
      <c r="M16" s="19" t="inlineStr">
        <is>
          <t>Not run</t>
        </is>
      </c>
      <c r="N16" s="19" t="inlineStr"/>
      <c r="O16" s="19" t="inlineStr"/>
      <c r="P16" s="20" t="inlineStr"/>
      <c r="Q16" s="19" t="inlineStr"/>
      <c r="R16" s="14" t="inlineStr">
        <is>
          <t>21 Oct 2026</t>
        </is>
      </c>
      <c r="S16" s="14" t="inlineStr">
        <is>
          <t>21 Oct 2026</t>
        </is>
      </c>
    </row>
    <row r="17">
      <c r="A17" s="16" t="inlineStr">
        <is>
          <t>TC-HRD-02</t>
        </is>
      </c>
      <c r="B17" s="14" t="inlineStr">
        <is>
          <t>HR Dashboard</t>
        </is>
      </c>
      <c r="C17" s="18" t="inlineStr">
        <is>
          <t>Every link opens</t>
        </is>
      </c>
      <c r="D17" s="14" t="inlineStr">
        <is>
          <t>HR Manager</t>
        </is>
      </c>
      <c r="E17" s="18" t="inlineStr">
        <is>
          <t>Logged in as HR.</t>
        </is>
      </c>
      <c r="F17" s="18" t="inlineStr">
        <is>
          <t>Click every 'Open' link and button on the HR Dashboard, coming back each time.</t>
        </is>
      </c>
      <c r="G17" s="18" t="inlineStr">
        <is>
          <t>—</t>
        </is>
      </c>
      <c r="H17" s="18" t="inlineStr">
        <is>
          <t>Each page opens. No 'Not permitted', 'Page not found' or red error pop-up.</t>
        </is>
      </c>
      <c r="I17" s="14" t="inlineStr">
        <is>
          <t>Critical</t>
        </is>
      </c>
      <c r="J17" s="14" t="inlineStr">
        <is>
          <t>Functional</t>
        </is>
      </c>
      <c r="K17" s="14" t="inlineStr">
        <is>
          <t>HRD-03</t>
        </is>
      </c>
      <c r="L17" s="14" t="inlineStr">
        <is>
          <t>Pass</t>
        </is>
      </c>
      <c r="M17" s="19" t="inlineStr">
        <is>
          <t>Not run</t>
        </is>
      </c>
      <c r="N17" s="19" t="inlineStr"/>
      <c r="O17" s="19" t="inlineStr"/>
      <c r="P17" s="20" t="inlineStr"/>
      <c r="Q17" s="19" t="inlineStr"/>
      <c r="R17" s="14" t="inlineStr">
        <is>
          <t>21 Oct 2026</t>
        </is>
      </c>
      <c r="S17" s="14" t="inlineStr">
        <is>
          <t>21 Oct 2026</t>
        </is>
      </c>
    </row>
    <row r="18">
      <c r="A18" s="16" t="inlineStr">
        <is>
          <t>TC-HRD-03</t>
        </is>
      </c>
      <c r="B18" s="14" t="inlineStr">
        <is>
          <t>HR Dashboard</t>
        </is>
      </c>
      <c r="C18" s="18" t="inlineStr">
        <is>
          <t>Request Management counts match the lists</t>
        </is>
      </c>
      <c r="D18" s="14" t="inlineStr">
        <is>
          <t>HR Manager</t>
        </is>
      </c>
      <c r="E18" s="18" t="inlineStr">
        <is>
          <t>Some requests exist.</t>
        </is>
      </c>
      <c r="F18" s="18" t="inlineStr">
        <is>
          <t>1. Note the count on a request card.
2. Open that list and compare.</t>
        </is>
      </c>
      <c r="G18" s="18" t="inlineStr">
        <is>
          <t>—</t>
        </is>
      </c>
      <c r="H18" s="18" t="inlineStr">
        <is>
          <t>The count matches the number of records in the list.</t>
        </is>
      </c>
      <c r="I18" s="14" t="inlineStr">
        <is>
          <t>Medium</t>
        </is>
      </c>
      <c r="J18" s="14" t="inlineStr">
        <is>
          <t>Functional</t>
        </is>
      </c>
      <c r="K18" s="14" t="inlineStr">
        <is>
          <t>—</t>
        </is>
      </c>
      <c r="L18" s="14" t="inlineStr">
        <is>
          <t>Manual only</t>
        </is>
      </c>
      <c r="M18" s="19" t="inlineStr">
        <is>
          <t>Not run</t>
        </is>
      </c>
      <c r="N18" s="19" t="inlineStr"/>
      <c r="O18" s="19" t="inlineStr"/>
      <c r="P18" s="20" t="inlineStr"/>
      <c r="Q18" s="19" t="inlineStr"/>
      <c r="R18" s="14" t="inlineStr">
        <is>
          <t>21 Oct 2026</t>
        </is>
      </c>
      <c r="S18" s="14" t="inlineStr">
        <is>
          <t>21 Oct 2026</t>
        </is>
      </c>
    </row>
    <row r="19">
      <c r="A19" s="16" t="inlineStr">
        <is>
          <t>TC-HRD-04</t>
        </is>
      </c>
      <c r="B19" s="14" t="inlineStr">
        <is>
          <t>HR Dashboard</t>
        </is>
      </c>
      <c r="C19" s="18" t="inlineStr">
        <is>
          <t>Medical HRMS workspace</t>
        </is>
      </c>
      <c r="D19" s="14" t="inlineStr">
        <is>
          <t>HR Manager</t>
        </is>
      </c>
      <c r="E19" s="18" t="inlineStr">
        <is>
          <t>Logged in as HR.</t>
        </is>
      </c>
      <c r="F19" s="18" t="inlineStr">
        <is>
          <t>Open /app/medical-hrms.</t>
        </is>
      </c>
      <c r="G19" s="18" t="inlineStr">
        <is>
          <t>—</t>
        </is>
      </c>
      <c r="H19" s="18" t="inlineStr">
        <is>
          <t>Workspace loads with its shortcuts.</t>
        </is>
      </c>
      <c r="I19" s="14" t="inlineStr">
        <is>
          <t>Low</t>
        </is>
      </c>
      <c r="J19" s="14" t="inlineStr">
        <is>
          <t>Functional</t>
        </is>
      </c>
      <c r="K19" s="14" t="inlineStr">
        <is>
          <t>HRD-04</t>
        </is>
      </c>
      <c r="L19" s="14" t="inlineStr">
        <is>
          <t>Pass</t>
        </is>
      </c>
      <c r="M19" s="19" t="inlineStr">
        <is>
          <t>Not run</t>
        </is>
      </c>
      <c r="N19" s="19" t="inlineStr"/>
      <c r="O19" s="19" t="inlineStr"/>
      <c r="P19" s="20" t="inlineStr"/>
      <c r="Q19" s="19" t="inlineStr"/>
      <c r="R19" s="14" t="inlineStr">
        <is>
          <t>21 Oct 2026</t>
        </is>
      </c>
      <c r="S19" s="14" t="inlineStr">
        <is>
          <t>21 Oct 2026</t>
        </is>
      </c>
    </row>
    <row r="20">
      <c r="A20" s="16" t="inlineStr">
        <is>
          <t>TC-HRD-05</t>
        </is>
      </c>
      <c r="B20" s="14" t="inlineStr">
        <is>
          <t>HR Dashboard</t>
        </is>
      </c>
      <c r="C20" s="18" t="inlineStr">
        <is>
          <t>Start Sick Leave Year</t>
        </is>
      </c>
      <c r="D20" s="14" t="inlineStr">
        <is>
          <t>HR Manager</t>
        </is>
      </c>
      <c r="E20" s="18" t="inlineStr">
        <is>
          <t>The Sick Leave policy is submitted (Sick Leave card shows '(submitted)').</t>
        </is>
      </c>
      <c r="F20" s="18" t="inlineStr">
        <is>
          <t>1. HR Portal &gt; Leave &gt; Sick Leave card &gt; 'Start Sick Leave Year'.
2. Choose the employee and the First Sick Day.
3. Confirm.</t>
        </is>
      </c>
      <c r="G20" s="18" t="inlineStr">
        <is>
          <t>Employee, date</t>
        </is>
      </c>
      <c r="H20" s="18" t="inlineStr">
        <is>
          <t>'Sick leave year started: ... to ...'; the employee gets Sick Leave 1 and 2 allocations; annual leave unchanged.</t>
        </is>
      </c>
      <c r="I20" s="14" t="inlineStr">
        <is>
          <t>Medium</t>
        </is>
      </c>
      <c r="J20" s="14" t="inlineStr">
        <is>
          <t>Functional</t>
        </is>
      </c>
      <c r="K20" s="14" t="inlineStr">
        <is>
          <t>unit tests</t>
        </is>
      </c>
      <c r="L20" s="14" t="inlineStr">
        <is>
          <t>Unit test</t>
        </is>
      </c>
      <c r="M20" s="19" t="inlineStr">
        <is>
          <t>Not run</t>
        </is>
      </c>
      <c r="N20" s="19" t="inlineStr"/>
      <c r="O20" s="19" t="inlineStr"/>
      <c r="P20" s="20" t="inlineStr"/>
      <c r="Q20" s="19" t="inlineStr"/>
      <c r="R20" s="14" t="inlineStr">
        <is>
          <t>21 Oct 2026</t>
        </is>
      </c>
      <c r="S20" s="14" t="inlineStr">
        <is>
          <t>22 Oct 2026</t>
        </is>
      </c>
    </row>
    <row r="21">
      <c r="A21" s="16" t="inlineStr">
        <is>
          <t>TC-HRD-06</t>
        </is>
      </c>
      <c r="B21" s="14" t="inlineStr">
        <is>
          <t>HR Dashboard</t>
        </is>
      </c>
      <c r="C21" s="18" t="inlineStr">
        <is>
          <t>Leave setup check</t>
        </is>
      </c>
      <c r="D21" s="14" t="inlineStr">
        <is>
          <t>HR Manager</t>
        </is>
      </c>
      <c r="E21" s="18" t="inlineStr">
        <is>
          <t>Logged in as HR.</t>
        </is>
      </c>
      <c r="F21" s="18" t="inlineStr">
        <is>
          <t>HR Portal &gt; Leave &gt; look at 'Leave setup check'.</t>
        </is>
      </c>
      <c r="G21" s="18" t="inlineStr">
        <is>
          <t>—</t>
        </is>
      </c>
      <c r="H21" s="18" t="inlineStr">
        <is>
          <t>One row per company with active staff: leave period, holiday list, leave approvers and annual leave - green when complete, otherwise a count with a Fix link. Medical College all green; Al Riyada College shows what HR still has to set up (HR-69).</t>
        </is>
      </c>
      <c r="I21" s="14" t="inlineStr">
        <is>
          <t>High</t>
        </is>
      </c>
      <c r="J21" s="14" t="inlineStr">
        <is>
          <t>Functional</t>
        </is>
      </c>
      <c r="K21" s="14" t="inlineStr">
        <is>
          <t>LV-06</t>
        </is>
      </c>
      <c r="L21" s="14" t="inlineStr">
        <is>
          <t>Pass</t>
        </is>
      </c>
      <c r="M21" s="19" t="inlineStr">
        <is>
          <t>Not run</t>
        </is>
      </c>
      <c r="N21" s="19" t="inlineStr"/>
      <c r="O21" s="19" t="inlineStr"/>
      <c r="P21" s="20" t="inlineStr"/>
      <c r="Q21" s="19" t="inlineStr"/>
      <c r="R21" s="14" t="inlineStr">
        <is>
          <t>22 Oct 2026</t>
        </is>
      </c>
      <c r="S21" s="14" t="inlineStr">
        <is>
          <t>22 Oct 2026</t>
        </is>
      </c>
    </row>
    <row r="22">
      <c r="A22" s="16" t="inlineStr">
        <is>
          <t>TC-HRD-07</t>
        </is>
      </c>
      <c r="B22" s="14" t="inlineStr">
        <is>
          <t>HR Dashboard</t>
        </is>
      </c>
      <c r="C22" s="18" t="inlineStr">
        <is>
          <t>Daily leave work counts</t>
        </is>
      </c>
      <c r="D22" s="14" t="inlineStr">
        <is>
          <t>HR Manager</t>
        </is>
      </c>
      <c r="E22" s="18" t="inlineStr">
        <is>
          <t>Some leave applications, plans and returns exist.</t>
        </is>
      </c>
      <c r="F22" s="18" t="inlineStr">
        <is>
          <t>Compare each count (applications waiting, plans waiting, returns to complete, on leave today) with the list it opens.</t>
        </is>
      </c>
      <c r="G22" s="18" t="inlineStr">
        <is>
          <t>—</t>
        </is>
      </c>
      <c r="H22" s="18" t="inlineStr">
        <is>
          <t>Each count matches its list.</t>
        </is>
      </c>
      <c r="I22" s="14" t="inlineStr">
        <is>
          <t>Medium</t>
        </is>
      </c>
      <c r="J22" s="14" t="inlineStr">
        <is>
          <t>Functional</t>
        </is>
      </c>
      <c r="K22" s="14" t="inlineStr">
        <is>
          <t>LV-06</t>
        </is>
      </c>
      <c r="L22" s="14" t="inlineStr">
        <is>
          <t>Pass</t>
        </is>
      </c>
      <c r="M22" s="19" t="inlineStr">
        <is>
          <t>Not run</t>
        </is>
      </c>
      <c r="N22" s="19" t="inlineStr"/>
      <c r="O22" s="19" t="inlineStr"/>
      <c r="P22" s="20" t="inlineStr"/>
      <c r="Q22" s="19" t="inlineStr"/>
      <c r="R22" s="14" t="inlineStr">
        <is>
          <t>22 Oct 2026</t>
        </is>
      </c>
      <c r="S22" s="14" t="inlineStr">
        <is>
          <t>22 Oct 2026</t>
        </is>
      </c>
    </row>
    <row r="23">
      <c r="A23" s="16" t="inlineStr">
        <is>
          <t>TC-ESS-01</t>
        </is>
      </c>
      <c r="B23" s="14" t="inlineStr">
        <is>
          <t>Employee self-service</t>
        </is>
      </c>
      <c r="C23" s="18" t="inlineStr">
        <is>
          <t>Dashboard header and services</t>
        </is>
      </c>
      <c r="D23" s="14" t="inlineStr">
        <is>
          <t>Employee</t>
        </is>
      </c>
      <c r="E23" s="18" t="inlineStr">
        <is>
          <t>Logged in as employee.</t>
        </is>
      </c>
      <c r="F23" s="18" t="inlineStr">
        <is>
          <t>Open the Employee Dashboard.</t>
        </is>
      </c>
      <c r="G23" s="18" t="inlineStr">
        <is>
          <t>—</t>
        </is>
      </c>
      <c r="H23" s="18" t="inlineStr">
        <is>
          <t>Shows name, Employee ID, designation, department, the My Leave panel (What's next, Balances, This month's limits) and 11 service cards, Leave Plan / Leave Application / Leave Return first.</t>
        </is>
      </c>
      <c r="I23" s="14" t="inlineStr">
        <is>
          <t>High</t>
        </is>
      </c>
      <c r="J23" s="14" t="inlineStr">
        <is>
          <t>Functional</t>
        </is>
      </c>
      <c r="K23" s="14" t="inlineStr">
        <is>
          <t>ESS-02/03</t>
        </is>
      </c>
      <c r="L23" s="14" t="inlineStr">
        <is>
          <t>Pass</t>
        </is>
      </c>
      <c r="M23" s="19" t="inlineStr">
        <is>
          <t>Not run</t>
        </is>
      </c>
      <c r="N23" s="19" t="inlineStr"/>
      <c r="O23" s="19" t="inlineStr"/>
      <c r="P23" s="20" t="inlineStr"/>
      <c r="Q23" s="19" t="inlineStr"/>
      <c r="R23" s="14" t="inlineStr">
        <is>
          <t>21 Oct 2026</t>
        </is>
      </c>
      <c r="S23" s="14" t="inlineStr">
        <is>
          <t>22 Oct 2026</t>
        </is>
      </c>
    </row>
    <row r="24">
      <c r="A24" s="16" t="inlineStr">
        <is>
          <t>TC-ESS-02</t>
        </is>
      </c>
      <c r="B24" s="14" t="inlineStr">
        <is>
          <t>Employee self-service</t>
        </is>
      </c>
      <c r="C24" s="18" t="inlineStr">
        <is>
          <t>Permission Request with time pickers</t>
        </is>
      </c>
      <c r="D24" s="14" t="inlineStr">
        <is>
          <t>Employee</t>
        </is>
      </c>
      <c r="E24" s="18" t="inlineStr">
        <is>
          <t>—</t>
        </is>
      </c>
      <c r="F24" s="18" t="inlineStr">
        <is>
          <t>1. Permission Request -&gt; New Request.
2. Pick a date.
3. From 10:15 AM, To 11:45 AM using the hour/minute/AM-PM boxes.
4. Enter a reason.
5. Send Request.</t>
        </is>
      </c>
      <c r="G24" s="18" t="inlineStr">
        <is>
          <t>10:15 AM – 11:45 AM</t>
        </is>
      </c>
      <c r="H24" s="18" t="inlineStr">
        <is>
          <t>'Request sent for review'. In My Requests the times show 10:15 and 11:45; status Pending.</t>
        </is>
      </c>
      <c r="I24" s="14" t="inlineStr">
        <is>
          <t>High</t>
        </is>
      </c>
      <c r="J24" s="14" t="inlineStr">
        <is>
          <t>Functional</t>
        </is>
      </c>
      <c r="K24" s="14" t="inlineStr">
        <is>
          <t>ESS-04</t>
        </is>
      </c>
      <c r="L24" s="14" t="inlineStr">
        <is>
          <t>Pass</t>
        </is>
      </c>
      <c r="M24" s="19" t="inlineStr">
        <is>
          <t>Not run</t>
        </is>
      </c>
      <c r="N24" s="19" t="inlineStr"/>
      <c r="O24" s="19" t="inlineStr"/>
      <c r="P24" s="20" t="inlineStr"/>
      <c r="Q24" s="19" t="inlineStr"/>
      <c r="R24" s="14" t="inlineStr">
        <is>
          <t>21 Oct 2026</t>
        </is>
      </c>
      <c r="S24" s="14" t="inlineStr">
        <is>
          <t>21 Oct 2026</t>
        </is>
      </c>
    </row>
    <row r="25">
      <c r="A25" s="16" t="inlineStr">
        <is>
          <t>TC-ESS-03</t>
        </is>
      </c>
      <c r="B25" s="14" t="inlineStr">
        <is>
          <t>Employee self-service</t>
        </is>
      </c>
      <c r="C25" s="18" t="inlineStr">
        <is>
          <t>Incomplete time is refused</t>
        </is>
      </c>
      <c r="D25" s="14" t="inlineStr">
        <is>
          <t>Employee</t>
        </is>
      </c>
      <c r="E25" s="18" t="inlineStr">
        <is>
          <t>—</t>
        </is>
      </c>
      <c r="F25" s="18" t="inlineStr">
        <is>
          <t>In Permission Request choose only the hour (no minute / AM-PM) and Send.</t>
        </is>
      </c>
      <c r="G25" s="18" t="inlineStr">
        <is>
          <t>Hour only</t>
        </is>
      </c>
      <c r="H25" s="18" t="inlineStr">
        <is>
          <t>Message asking for hour, minute and AM/PM; nothing is saved.</t>
        </is>
      </c>
      <c r="I25" s="14" t="inlineStr">
        <is>
          <t>Medium</t>
        </is>
      </c>
      <c r="J25" s="14" t="inlineStr">
        <is>
          <t>Negative</t>
        </is>
      </c>
      <c r="K25" s="14" t="inlineStr">
        <is>
          <t>ESS-05</t>
        </is>
      </c>
      <c r="L25" s="14" t="inlineStr">
        <is>
          <t>Pass</t>
        </is>
      </c>
      <c r="M25" s="19" t="inlineStr">
        <is>
          <t>Not run</t>
        </is>
      </c>
      <c r="N25" s="19" t="inlineStr"/>
      <c r="O25" s="19" t="inlineStr"/>
      <c r="P25" s="20" t="inlineStr"/>
      <c r="Q25" s="19" t="inlineStr"/>
      <c r="R25" s="14" t="inlineStr">
        <is>
          <t>21 Oct 2026</t>
        </is>
      </c>
      <c r="S25" s="14" t="inlineStr">
        <is>
          <t>21 Oct 2026</t>
        </is>
      </c>
    </row>
    <row r="26">
      <c r="A26" s="16" t="inlineStr">
        <is>
          <t>TC-ESS-04</t>
        </is>
      </c>
      <c r="B26" s="14" t="inlineStr">
        <is>
          <t>Employee self-service</t>
        </is>
      </c>
      <c r="C26" s="18" t="inlineStr">
        <is>
          <t>Remote Work Request</t>
        </is>
      </c>
      <c r="D26" s="14" t="inlineStr">
        <is>
          <t>Employee</t>
        </is>
      </c>
      <c r="E26" s="18" t="inlineStr">
        <is>
          <t>—</t>
        </is>
      </c>
      <c r="F26" s="18" t="inlineStr">
        <is>
          <t>New Request -&gt; fill dates, work plan, location -&gt; Send.</t>
        </is>
      </c>
      <c r="G26" s="18" t="inlineStr">
        <is>
          <t>One working day</t>
        </is>
      </c>
      <c r="H26" s="18" t="inlineStr">
        <is>
          <t>Status Pending.</t>
        </is>
      </c>
      <c r="I26" s="14" t="inlineStr">
        <is>
          <t>High</t>
        </is>
      </c>
      <c r="J26" s="14" t="inlineStr">
        <is>
          <t>Functional</t>
        </is>
      </c>
      <c r="K26" s="14" t="inlineStr">
        <is>
          <t>ESS-06</t>
        </is>
      </c>
      <c r="L26" s="14" t="inlineStr">
        <is>
          <t>Pass</t>
        </is>
      </c>
      <c r="M26" s="19" t="inlineStr">
        <is>
          <t>Not run</t>
        </is>
      </c>
      <c r="N26" s="19" t="inlineStr"/>
      <c r="O26" s="19" t="inlineStr"/>
      <c r="P26" s="20" t="inlineStr"/>
      <c r="Q26" s="19" t="inlineStr"/>
      <c r="R26" s="14" t="inlineStr">
        <is>
          <t>21 Oct 2026</t>
        </is>
      </c>
      <c r="S26" s="14" t="inlineStr">
        <is>
          <t>21 Oct 2026</t>
        </is>
      </c>
    </row>
    <row r="27">
      <c r="A27" s="16" t="inlineStr">
        <is>
          <t>TC-ESS-05</t>
        </is>
      </c>
      <c r="B27" s="14" t="inlineStr">
        <is>
          <t>Employee self-service</t>
        </is>
      </c>
      <c r="C27" s="18" t="inlineStr">
        <is>
          <t>Salary Certificate Request</t>
        </is>
      </c>
      <c r="D27" s="14" t="inlineStr">
        <is>
          <t>Employee</t>
        </is>
      </c>
      <c r="E27" s="18" t="inlineStr">
        <is>
          <t>—</t>
        </is>
      </c>
      <c r="F27" s="18" t="inlineStr">
        <is>
          <t>New Request -&gt; purpose, addressee -&gt; Send.</t>
        </is>
      </c>
      <c r="G27" s="18" t="inlineStr">
        <is>
          <t>Bank Loan</t>
        </is>
      </c>
      <c r="H27" s="18" t="inlineStr">
        <is>
          <t>Status Pending.</t>
        </is>
      </c>
      <c r="I27" s="14" t="inlineStr">
        <is>
          <t>High</t>
        </is>
      </c>
      <c r="J27" s="14" t="inlineStr">
        <is>
          <t>Functional</t>
        </is>
      </c>
      <c r="K27" s="14" t="inlineStr">
        <is>
          <t>ESS-07</t>
        </is>
      </c>
      <c r="L27" s="14" t="inlineStr">
        <is>
          <t>Pass</t>
        </is>
      </c>
      <c r="M27" s="19" t="inlineStr">
        <is>
          <t>Not run</t>
        </is>
      </c>
      <c r="N27" s="19" t="inlineStr"/>
      <c r="O27" s="19" t="inlineStr"/>
      <c r="P27" s="20" t="inlineStr"/>
      <c r="Q27" s="19" t="inlineStr"/>
      <c r="R27" s="14" t="inlineStr">
        <is>
          <t>21 Oct 2026</t>
        </is>
      </c>
      <c r="S27" s="14" t="inlineStr">
        <is>
          <t>21 Oct 2026</t>
        </is>
      </c>
    </row>
    <row r="28">
      <c r="A28" s="16" t="inlineStr">
        <is>
          <t>TC-ESS-06</t>
        </is>
      </c>
      <c r="B28" s="14" t="inlineStr">
        <is>
          <t>Employee self-service</t>
        </is>
      </c>
      <c r="C28" s="18" t="inlineStr">
        <is>
          <t>Overtime pre-approval</t>
        </is>
      </c>
      <c r="D28" s="14" t="inlineStr">
        <is>
          <t>Employee</t>
        </is>
      </c>
      <c r="E28" s="18" t="inlineStr">
        <is>
          <t>—</t>
        </is>
      </c>
      <c r="F28" s="18" t="inlineStr">
        <is>
          <t>New Request -&gt; date, hours, type, justification -&gt; Send.</t>
        </is>
      </c>
      <c r="G28" s="18" t="inlineStr">
        <is>
          <t>2 hours</t>
        </is>
      </c>
      <c r="H28" s="18" t="inlineStr">
        <is>
          <t>Status Pending.</t>
        </is>
      </c>
      <c r="I28" s="14" t="inlineStr">
        <is>
          <t>Medium</t>
        </is>
      </c>
      <c r="J28" s="14" t="inlineStr">
        <is>
          <t>Functional</t>
        </is>
      </c>
      <c r="K28" s="14" t="inlineStr">
        <is>
          <t>ESS-08</t>
        </is>
      </c>
      <c r="L28" s="14" t="inlineStr">
        <is>
          <t>Pass</t>
        </is>
      </c>
      <c r="M28" s="19" t="inlineStr">
        <is>
          <t>Not run</t>
        </is>
      </c>
      <c r="N28" s="19" t="inlineStr"/>
      <c r="O28" s="19" t="inlineStr"/>
      <c r="P28" s="20" t="inlineStr"/>
      <c r="Q28" s="19" t="inlineStr"/>
      <c r="R28" s="14" t="inlineStr">
        <is>
          <t>21 Oct 2026</t>
        </is>
      </c>
      <c r="S28" s="14" t="inlineStr">
        <is>
          <t>21 Oct 2026</t>
        </is>
      </c>
    </row>
    <row r="29">
      <c r="A29" s="16" t="inlineStr">
        <is>
          <t>TC-ESS-07</t>
        </is>
      </c>
      <c r="B29" s="14" t="inlineStr">
        <is>
          <t>Employee self-service</t>
        </is>
      </c>
      <c r="C29" s="18" t="inlineStr">
        <is>
          <t>Training Request</t>
        </is>
      </c>
      <c r="D29" s="14" t="inlineStr">
        <is>
          <t>Employee</t>
        </is>
      </c>
      <c r="E29" s="18" t="inlineStr">
        <is>
          <t>—</t>
        </is>
      </c>
      <c r="F29" s="18" t="inlineStr">
        <is>
          <t>New Request -&gt; course, provider, cost, benefit -&gt; Send.</t>
        </is>
      </c>
      <c r="G29" s="18" t="inlineStr">
        <is>
          <t>Cost 1500</t>
        </is>
      </c>
      <c r="H29" s="18" t="inlineStr">
        <is>
          <t>Status Pending.</t>
        </is>
      </c>
      <c r="I29" s="14" t="inlineStr">
        <is>
          <t>Medium</t>
        </is>
      </c>
      <c r="J29" s="14" t="inlineStr">
        <is>
          <t>Functional</t>
        </is>
      </c>
      <c r="K29" s="14" t="inlineStr">
        <is>
          <t>ESS-09</t>
        </is>
      </c>
      <c r="L29" s="14" t="inlineStr">
        <is>
          <t>Pass</t>
        </is>
      </c>
      <c r="M29" s="19" t="inlineStr">
        <is>
          <t>Not run</t>
        </is>
      </c>
      <c r="N29" s="19" t="inlineStr"/>
      <c r="O29" s="19" t="inlineStr"/>
      <c r="P29" s="20" t="inlineStr"/>
      <c r="Q29" s="19" t="inlineStr"/>
      <c r="R29" s="14" t="inlineStr">
        <is>
          <t>21 Oct 2026</t>
        </is>
      </c>
      <c r="S29" s="14" t="inlineStr">
        <is>
          <t>21 Oct 2026</t>
        </is>
      </c>
    </row>
    <row r="30">
      <c r="A30" s="16" t="inlineStr">
        <is>
          <t>TC-ESS-08</t>
        </is>
      </c>
      <c r="B30" s="14" t="inlineStr">
        <is>
          <t>Employee self-service</t>
        </is>
      </c>
      <c r="C30" s="18" t="inlineStr">
        <is>
          <t>Children Medical Allowance with invoice</t>
        </is>
      </c>
      <c r="D30" s="14" t="inlineStr">
        <is>
          <t>Employee</t>
        </is>
      </c>
      <c r="E30" s="18" t="inlineStr">
        <is>
          <t>A small PDF invoice.</t>
        </is>
      </c>
      <c r="F30" s="18" t="inlineStr">
        <is>
          <t>1. New Request.
2. Fill child, school, year, amount, payment.
3. Attach the invoice (Upload).
4. Send.</t>
        </is>
      </c>
      <c r="G30" s="18" t="inlineStr">
        <is>
          <t>PDF invoice</t>
        </is>
      </c>
      <c r="H30" s="18" t="inlineStr">
        <is>
          <t>Upload succeeds; request Pending; the file is private (see TC-SEC-08).</t>
        </is>
      </c>
      <c r="I30" s="14" t="inlineStr">
        <is>
          <t>High</t>
        </is>
      </c>
      <c r="J30" s="14" t="inlineStr">
        <is>
          <t>Functional</t>
        </is>
      </c>
      <c r="K30" s="14" t="inlineStr">
        <is>
          <t>ESS-12</t>
        </is>
      </c>
      <c r="L30" s="14" t="inlineStr">
        <is>
          <t>Pass</t>
        </is>
      </c>
      <c r="M30" s="19" t="inlineStr">
        <is>
          <t>Not run</t>
        </is>
      </c>
      <c r="N30" s="19" t="inlineStr"/>
      <c r="O30" s="19" t="inlineStr"/>
      <c r="P30" s="20" t="inlineStr"/>
      <c r="Q30" s="19" t="inlineStr"/>
      <c r="R30" s="14" t="inlineStr">
        <is>
          <t>21 Oct 2026</t>
        </is>
      </c>
      <c r="S30" s="14" t="inlineStr">
        <is>
          <t>21 Oct 2026</t>
        </is>
      </c>
    </row>
    <row r="31">
      <c r="A31" s="16" t="inlineStr">
        <is>
          <t>TC-ESS-09</t>
        </is>
      </c>
      <c r="B31" s="14" t="inlineStr">
        <is>
          <t>Employee self-service</t>
        </is>
      </c>
      <c r="C31" s="18" t="inlineStr">
        <is>
          <t>Company Car Request</t>
        </is>
      </c>
      <c r="D31" s="14" t="inlineStr">
        <is>
          <t>Employee</t>
        </is>
      </c>
      <c r="E31" s="18" t="inlineStr">
        <is>
          <t>—</t>
        </is>
      </c>
      <c r="F31" s="18" t="inlineStr">
        <is>
          <t>New Request -&gt; justification, visits per week -&gt; Send.</t>
        </is>
      </c>
      <c r="G31" s="18" t="inlineStr">
        <is>
          <t>3 visits</t>
        </is>
      </c>
      <c r="H31" s="18" t="inlineStr">
        <is>
          <t>Status Pending.</t>
        </is>
      </c>
      <c r="I31" s="14" t="inlineStr">
        <is>
          <t>Low</t>
        </is>
      </c>
      <c r="J31" s="14" t="inlineStr">
        <is>
          <t>Functional</t>
        </is>
      </c>
      <c r="K31" s="14" t="inlineStr">
        <is>
          <t>ESS-10</t>
        </is>
      </c>
      <c r="L31" s="14" t="inlineStr">
        <is>
          <t>Pass</t>
        </is>
      </c>
      <c r="M31" s="19" t="inlineStr">
        <is>
          <t>Not run</t>
        </is>
      </c>
      <c r="N31" s="19" t="inlineStr"/>
      <c r="O31" s="19" t="inlineStr"/>
      <c r="P31" s="20" t="inlineStr"/>
      <c r="Q31" s="19" t="inlineStr"/>
      <c r="R31" s="14" t="inlineStr">
        <is>
          <t>21 Oct 2026</t>
        </is>
      </c>
      <c r="S31" s="14" t="inlineStr">
        <is>
          <t>21 Oct 2026</t>
        </is>
      </c>
    </row>
    <row r="32">
      <c r="A32" s="16" t="inlineStr">
        <is>
          <t>TC-ESS-10</t>
        </is>
      </c>
      <c r="B32" s="14" t="inlineStr">
        <is>
          <t>Employee self-service</t>
        </is>
      </c>
      <c r="C32" s="18" t="inlineStr">
        <is>
          <t>Update My Data</t>
        </is>
      </c>
      <c r="D32" s="14" t="inlineStr">
        <is>
          <t>Employee</t>
        </is>
      </c>
      <c r="E32" s="18" t="inlineStr">
        <is>
          <t>—</t>
        </is>
      </c>
      <c r="F32" s="18" t="inlineStr">
        <is>
          <t>New Request -&gt; type Address, new value -&gt; Send.</t>
        </is>
      </c>
      <c r="G32" s="18" t="inlineStr">
        <is>
          <t>New address</t>
        </is>
      </c>
      <c r="H32" s="18" t="inlineStr">
        <is>
          <t>Status Pending.</t>
        </is>
      </c>
      <c r="I32" s="14" t="inlineStr">
        <is>
          <t>Medium</t>
        </is>
      </c>
      <c r="J32" s="14" t="inlineStr">
        <is>
          <t>Functional</t>
        </is>
      </c>
      <c r="K32" s="14" t="inlineStr">
        <is>
          <t>ESS-11</t>
        </is>
      </c>
      <c r="L32" s="14" t="inlineStr">
        <is>
          <t>Pass</t>
        </is>
      </c>
      <c r="M32" s="19" t="inlineStr">
        <is>
          <t>Not run</t>
        </is>
      </c>
      <c r="N32" s="19" t="inlineStr"/>
      <c r="O32" s="19" t="inlineStr"/>
      <c r="P32" s="20" t="inlineStr"/>
      <c r="Q32" s="19" t="inlineStr"/>
      <c r="R32" s="14" t="inlineStr">
        <is>
          <t>21 Oct 2026</t>
        </is>
      </c>
      <c r="S32" s="14" t="inlineStr">
        <is>
          <t>21 Oct 2026</t>
        </is>
      </c>
    </row>
    <row r="33">
      <c r="A33" s="16" t="inlineStr">
        <is>
          <t>TC-ESS-11</t>
        </is>
      </c>
      <c r="B33" s="14" t="inlineStr">
        <is>
          <t>Employee self-service</t>
        </is>
      </c>
      <c r="C33" s="18" t="inlineStr">
        <is>
          <t>Save Draft</t>
        </is>
      </c>
      <c r="D33" s="14" t="inlineStr">
        <is>
          <t>Employee</t>
        </is>
      </c>
      <c r="E33" s="18" t="inlineStr">
        <is>
          <t>—</t>
        </is>
      </c>
      <c r="F33" s="18" t="inlineStr">
        <is>
          <t>Salary Certificate -&gt; fill -&gt; Save Draft.</t>
        </is>
      </c>
      <c r="G33" s="18" t="inlineStr">
        <is>
          <t>—</t>
        </is>
      </c>
      <c r="H33" s="18" t="inlineStr">
        <is>
          <t>Status Draft; not counted as Pending on the dashboard.</t>
        </is>
      </c>
      <c r="I33" s="14" t="inlineStr">
        <is>
          <t>Medium</t>
        </is>
      </c>
      <c r="J33" s="14" t="inlineStr">
        <is>
          <t>Functional</t>
        </is>
      </c>
      <c r="K33" s="14" t="inlineStr">
        <is>
          <t>ESS-13</t>
        </is>
      </c>
      <c r="L33" s="14" t="inlineStr">
        <is>
          <t>Pass</t>
        </is>
      </c>
      <c r="M33" s="19" t="inlineStr">
        <is>
          <t>Not run</t>
        </is>
      </c>
      <c r="N33" s="19" t="inlineStr"/>
      <c r="O33" s="19" t="inlineStr"/>
      <c r="P33" s="20" t="inlineStr"/>
      <c r="Q33" s="19" t="inlineStr"/>
      <c r="R33" s="14" t="inlineStr">
        <is>
          <t>21 Oct 2026</t>
        </is>
      </c>
      <c r="S33" s="14" t="inlineStr">
        <is>
          <t>21 Oct 2026</t>
        </is>
      </c>
    </row>
    <row r="34">
      <c r="A34" s="16" t="inlineStr">
        <is>
          <t>TC-ESS-12</t>
        </is>
      </c>
      <c r="B34" s="14" t="inlineStr">
        <is>
          <t>Employee self-service</t>
        </is>
      </c>
      <c r="C34" s="18" t="inlineStr">
        <is>
          <t>My Requests and details</t>
        </is>
      </c>
      <c r="D34" s="14" t="inlineStr">
        <is>
          <t>Employee</t>
        </is>
      </c>
      <c r="E34" s="18" t="inlineStr">
        <is>
          <t>Some requests sent.</t>
        </is>
      </c>
      <c r="F34" s="18" t="inlineStr">
        <is>
          <t>1. Click 'N request(s)' on a card.
2. Click a request.</t>
        </is>
      </c>
      <c r="G34" s="18" t="inlineStr">
        <is>
          <t>—</t>
        </is>
      </c>
      <c r="H34" s="18" t="inlineStr">
        <is>
          <t>List shows each request and status; details show the values entered.</t>
        </is>
      </c>
      <c r="I34" s="14" t="inlineStr">
        <is>
          <t>Medium</t>
        </is>
      </c>
      <c r="J34" s="14" t="inlineStr">
        <is>
          <t>Functional</t>
        </is>
      </c>
      <c r="K34" s="14" t="inlineStr">
        <is>
          <t>ESS-16</t>
        </is>
      </c>
      <c r="L34" s="14" t="inlineStr">
        <is>
          <t>Pass</t>
        </is>
      </c>
      <c r="M34" s="19" t="inlineStr">
        <is>
          <t>Not run</t>
        </is>
      </c>
      <c r="N34" s="19" t="inlineStr"/>
      <c r="O34" s="19" t="inlineStr"/>
      <c r="P34" s="20" t="inlineStr"/>
      <c r="Q34" s="19" t="inlineStr"/>
      <c r="R34" s="14" t="inlineStr">
        <is>
          <t>21 Oct 2026</t>
        </is>
      </c>
      <c r="S34" s="14" t="inlineStr">
        <is>
          <t>21 Oct 2026</t>
        </is>
      </c>
    </row>
    <row r="35">
      <c r="A35" s="16" t="inlineStr">
        <is>
          <t>TC-ESS-13</t>
        </is>
      </c>
      <c r="B35" s="14" t="inlineStr">
        <is>
          <t>Employee self-service</t>
        </is>
      </c>
      <c r="C35" s="18" t="inlineStr">
        <is>
          <t>Counters and Recent Requests</t>
        </is>
      </c>
      <c r="D35" s="14" t="inlineStr">
        <is>
          <t>Employee</t>
        </is>
      </c>
      <c r="E35" s="18" t="inlineStr">
        <is>
          <t>Requests sent.</t>
        </is>
      </c>
      <c r="F35" s="18" t="inlineStr">
        <is>
          <t>Reload the Employee Dashboard.</t>
        </is>
      </c>
      <c r="G35" s="18" t="inlineStr">
        <is>
          <t>—</t>
        </is>
      </c>
      <c r="H35" s="18" t="inlineStr">
        <is>
          <t>My Requests / Pending / Approved counters and the Recent Requests list match what was sent.</t>
        </is>
      </c>
      <c r="I35" s="14" t="inlineStr">
        <is>
          <t>Medium</t>
        </is>
      </c>
      <c r="J35" s="14" t="inlineStr">
        <is>
          <t>Functional</t>
        </is>
      </c>
      <c r="K35" s="14" t="inlineStr">
        <is>
          <t>ESS-15</t>
        </is>
      </c>
      <c r="L35" s="14" t="inlineStr">
        <is>
          <t>Pass</t>
        </is>
      </c>
      <c r="M35" s="19" t="inlineStr">
        <is>
          <t>Not run</t>
        </is>
      </c>
      <c r="N35" s="19" t="inlineStr"/>
      <c r="O35" s="19" t="inlineStr"/>
      <c r="P35" s="20" t="inlineStr"/>
      <c r="Q35" s="19" t="inlineStr"/>
      <c r="R35" s="14" t="inlineStr">
        <is>
          <t>21 Oct 2026</t>
        </is>
      </c>
      <c r="S35" s="14" t="inlineStr">
        <is>
          <t>21 Oct 2026</t>
        </is>
      </c>
    </row>
    <row r="36">
      <c r="A36" s="16" t="inlineStr">
        <is>
          <t>TC-ESS-14</t>
        </is>
      </c>
      <c r="B36" s="14" t="inlineStr">
        <is>
          <t>Employee self-service</t>
        </is>
      </c>
      <c r="C36" s="18" t="inlineStr">
        <is>
          <t>My Profile</t>
        </is>
      </c>
      <c r="D36" s="14" t="inlineStr">
        <is>
          <t>Employee</t>
        </is>
      </c>
      <c r="E36" s="18" t="inlineStr">
        <is>
          <t>—</t>
        </is>
      </c>
      <c r="F36" s="18" t="inlineStr">
        <is>
          <t>Click 'My Employee Profile'.</t>
        </is>
      </c>
      <c r="G36" s="18" t="inlineStr">
        <is>
          <t>—</t>
        </is>
      </c>
      <c r="H36" s="18" t="inlineStr">
        <is>
          <t>Pop-up with own name, designation, department, company.</t>
        </is>
      </c>
      <c r="I36" s="14" t="inlineStr">
        <is>
          <t>Low</t>
        </is>
      </c>
      <c r="J36" s="14" t="inlineStr">
        <is>
          <t>Functional</t>
        </is>
      </c>
      <c r="K36" s="14" t="inlineStr">
        <is>
          <t>ESS-17</t>
        </is>
      </c>
      <c r="L36" s="14" t="inlineStr">
        <is>
          <t>Pass</t>
        </is>
      </c>
      <c r="M36" s="19" t="inlineStr">
        <is>
          <t>Not run</t>
        </is>
      </c>
      <c r="N36" s="19" t="inlineStr"/>
      <c r="O36" s="19" t="inlineStr"/>
      <c r="P36" s="20" t="inlineStr"/>
      <c r="Q36" s="19" t="inlineStr"/>
      <c r="R36" s="14" t="inlineStr">
        <is>
          <t>21 Oct 2026</t>
        </is>
      </c>
      <c r="S36" s="14" t="inlineStr">
        <is>
          <t>21 Oct 2026</t>
        </is>
      </c>
    </row>
    <row r="37">
      <c r="A37" s="16" t="inlineStr">
        <is>
          <t>TC-ESS-15</t>
        </is>
      </c>
      <c r="B37" s="14" t="inlineStr">
        <is>
          <t>Employee self-service</t>
        </is>
      </c>
      <c r="C37" s="18" t="inlineStr">
        <is>
          <t>Dashboard on a phone</t>
        </is>
      </c>
      <c r="D37" s="14" t="inlineStr">
        <is>
          <t>Employee</t>
        </is>
      </c>
      <c r="E37" s="18" t="inlineStr">
        <is>
          <t>Phone or narrow browser window.</t>
        </is>
      </c>
      <c r="F37" s="18" t="inlineStr">
        <is>
          <t>Open the Employee Dashboard and send one request.</t>
        </is>
      </c>
      <c r="G37" s="18" t="inlineStr">
        <is>
          <t>—</t>
        </is>
      </c>
      <c r="H37" s="18" t="inlineStr">
        <is>
          <t>Layout fits the screen; dialogs usable; no sideways scrolling.</t>
        </is>
      </c>
      <c r="I37" s="14" t="inlineStr">
        <is>
          <t>Medium</t>
        </is>
      </c>
      <c r="J37" s="14" t="inlineStr">
        <is>
          <t>Usability</t>
        </is>
      </c>
      <c r="K37" s="14" t="inlineStr">
        <is>
          <t>—</t>
        </is>
      </c>
      <c r="L37" s="14" t="inlineStr">
        <is>
          <t>Manual only</t>
        </is>
      </c>
      <c r="M37" s="19" t="inlineStr">
        <is>
          <t>Not run</t>
        </is>
      </c>
      <c r="N37" s="19" t="inlineStr"/>
      <c r="O37" s="19" t="inlineStr"/>
      <c r="P37" s="20" t="inlineStr"/>
      <c r="Q37" s="19" t="inlineStr"/>
      <c r="R37" s="14" t="inlineStr">
        <is>
          <t>21 Oct 2026</t>
        </is>
      </c>
      <c r="S37" s="14" t="inlineStr">
        <is>
          <t>21 Oct 2026</t>
        </is>
      </c>
    </row>
    <row r="38">
      <c r="A38" s="16" t="inlineStr">
        <is>
          <t>TC-LV-01</t>
        </is>
      </c>
      <c r="B38" s="14" t="inlineStr">
        <is>
          <t>Leave</t>
        </is>
      </c>
      <c r="C38" s="18" t="inlineStr">
        <is>
          <t>Apply for annual leave</t>
        </is>
      </c>
      <c r="D38" s="14" t="inlineStr">
        <is>
          <t>Employee</t>
        </is>
      </c>
      <c r="E38" s="18" t="inlineStr">
        <is>
          <t>Employee has an Annual Leave allocation and a leave approver.</t>
        </is>
      </c>
      <c r="F38" s="18" t="inlineStr">
        <is>
          <t>1. Leave Application -&gt; New Request.
2. Leave Type 'Annual Leave (N days left)', 2 days, reason.
3. Send.</t>
        </is>
      </c>
      <c r="G38" s="18" t="inlineStr">
        <is>
          <t>2 days</t>
        </is>
      </c>
      <c r="H38" s="18" t="inlineStr">
        <is>
          <t>Leave Application with status Open; approver set automatically.</t>
        </is>
      </c>
      <c r="I38" s="14" t="inlineStr">
        <is>
          <t>Critical</t>
        </is>
      </c>
      <c r="J38" s="14" t="inlineStr">
        <is>
          <t>Functional</t>
        </is>
      </c>
      <c r="K38" s="14" t="inlineStr">
        <is>
          <t>ESS-14</t>
        </is>
      </c>
      <c r="L38" s="14" t="inlineStr">
        <is>
          <t>Pass</t>
        </is>
      </c>
      <c r="M38" s="19" t="inlineStr">
        <is>
          <t>Not run</t>
        </is>
      </c>
      <c r="N38" s="19" t="inlineStr"/>
      <c r="O38" s="19" t="inlineStr"/>
      <c r="P38" s="20" t="inlineStr"/>
      <c r="Q38" s="19" t="inlineStr"/>
      <c r="R38" s="14" t="inlineStr">
        <is>
          <t>21 Oct 2026</t>
        </is>
      </c>
      <c r="S38" s="14" t="inlineStr">
        <is>
          <t>22 Oct 2026</t>
        </is>
      </c>
    </row>
    <row r="39">
      <c r="A39" s="16" t="inlineStr">
        <is>
          <t>TC-LV-02</t>
        </is>
      </c>
      <c r="B39" s="14" t="inlineStr">
        <is>
          <t>Leave</t>
        </is>
      </c>
      <c r="C39" s="18" t="inlineStr">
        <is>
          <t>Approver approves and submits</t>
        </is>
      </c>
      <c r="D39" s="14" t="inlineStr">
        <is>
          <t>HR Manager</t>
        </is>
      </c>
      <c r="E39" s="18" t="inlineStr">
        <is>
          <t>TC-LV-01 done; logged in as the leave approver.</t>
        </is>
      </c>
      <c r="F39" s="18" t="inlineStr">
        <is>
          <t>1. Open the Leave Application.
2. Status = Approved, Save.
3. Submit, confirm.</t>
        </is>
      </c>
      <c r="G39" s="18" t="inlineStr">
        <is>
          <t>—</t>
        </is>
      </c>
      <c r="H39" s="18" t="inlineStr">
        <is>
          <t>Submitted; status Approved.</t>
        </is>
      </c>
      <c r="I39" s="14" t="inlineStr">
        <is>
          <t>Critical</t>
        </is>
      </c>
      <c r="J39" s="14" t="inlineStr">
        <is>
          <t>Functional</t>
        </is>
      </c>
      <c r="K39" s="14" t="inlineStr">
        <is>
          <t>APR-04</t>
        </is>
      </c>
      <c r="L39" s="14" t="inlineStr">
        <is>
          <t>Pass</t>
        </is>
      </c>
      <c r="M39" s="19" t="inlineStr">
        <is>
          <t>Not run</t>
        </is>
      </c>
      <c r="N39" s="19" t="inlineStr"/>
      <c r="O39" s="19" t="inlineStr"/>
      <c r="P39" s="20" t="inlineStr"/>
      <c r="Q39" s="19" t="inlineStr"/>
      <c r="R39" s="14" t="inlineStr">
        <is>
          <t>21 Oct 2026</t>
        </is>
      </c>
      <c r="S39" s="14" t="inlineStr">
        <is>
          <t>21 Oct 2026</t>
        </is>
      </c>
    </row>
    <row r="40">
      <c r="A40" s="16" t="inlineStr">
        <is>
          <t>TC-LV-03</t>
        </is>
      </c>
      <c r="B40" s="14" t="inlineStr">
        <is>
          <t>Leave</t>
        </is>
      </c>
      <c r="C40" s="18" t="inlineStr">
        <is>
          <t>Balance goes down</t>
        </is>
      </c>
      <c r="D40" s="14" t="inlineStr">
        <is>
          <t>Employee</t>
        </is>
      </c>
      <c r="E40" s="18" t="inlineStr">
        <is>
          <t>TC-LV-02 done.</t>
        </is>
      </c>
      <c r="F40" s="18" t="inlineStr">
        <is>
          <t>Open the Employee Dashboard.</t>
        </is>
      </c>
      <c r="G40" s="18" t="inlineStr">
        <is>
          <t>—</t>
        </is>
      </c>
      <c r="H40" s="18" t="inlineStr">
        <is>
          <t>Annual Leave balance reduced by the approved days (e.g. 21 -&gt; 19).</t>
        </is>
      </c>
      <c r="I40" s="14" t="inlineStr">
        <is>
          <t>Critical</t>
        </is>
      </c>
      <c r="J40" s="14" t="inlineStr">
        <is>
          <t>Functional</t>
        </is>
      </c>
      <c r="K40" s="14" t="inlineStr">
        <is>
          <t>APR-05</t>
        </is>
      </c>
      <c r="L40" s="14" t="inlineStr">
        <is>
          <t>Pass</t>
        </is>
      </c>
      <c r="M40" s="19" t="inlineStr">
        <is>
          <t>Not run</t>
        </is>
      </c>
      <c r="N40" s="19" t="inlineStr"/>
      <c r="O40" s="19" t="inlineStr"/>
      <c r="P40" s="20" t="inlineStr"/>
      <c r="Q40" s="19" t="inlineStr"/>
      <c r="R40" s="14" t="inlineStr">
        <is>
          <t>21 Oct 2026</t>
        </is>
      </c>
      <c r="S40" s="14" t="inlineStr">
        <is>
          <t>21 Oct 2026</t>
        </is>
      </c>
    </row>
    <row r="41">
      <c r="A41" s="16" t="inlineStr">
        <is>
          <t>TC-LV-04</t>
        </is>
      </c>
      <c r="B41" s="14" t="inlineStr">
        <is>
          <t>Leave</t>
        </is>
      </c>
      <c r="C41" s="18" t="inlineStr">
        <is>
          <t>Approver rejects a leave</t>
        </is>
      </c>
      <c r="D41" s="14" t="inlineStr">
        <is>
          <t>HR Manager</t>
        </is>
      </c>
      <c r="E41" s="18" t="inlineStr">
        <is>
          <t>A new Open leave.</t>
        </is>
      </c>
      <c r="F41" s="18" t="inlineStr">
        <is>
          <t>Status = Rejected, Save, Submit.</t>
        </is>
      </c>
      <c r="G41" s="18" t="inlineStr">
        <is>
          <t>—</t>
        </is>
      </c>
      <c r="H41" s="18" t="inlineStr">
        <is>
          <t>Status Rejected; balance unchanged.</t>
        </is>
      </c>
      <c r="I41" s="14" t="inlineStr">
        <is>
          <t>High</t>
        </is>
      </c>
      <c r="J41" s="14" t="inlineStr">
        <is>
          <t>Functional</t>
        </is>
      </c>
      <c r="K41" s="14" t="inlineStr">
        <is>
          <t>—</t>
        </is>
      </c>
      <c r="L41" s="14" t="inlineStr">
        <is>
          <t>Manual only</t>
        </is>
      </c>
      <c r="M41" s="19" t="inlineStr">
        <is>
          <t>Not run</t>
        </is>
      </c>
      <c r="N41" s="19" t="inlineStr"/>
      <c r="O41" s="19" t="inlineStr"/>
      <c r="P41" s="20" t="inlineStr"/>
      <c r="Q41" s="19" t="inlineStr"/>
      <c r="R41" s="14" t="inlineStr">
        <is>
          <t>21 Oct 2026</t>
        </is>
      </c>
      <c r="S41" s="14" t="inlineStr">
        <is>
          <t>21 Oct 2026</t>
        </is>
      </c>
    </row>
    <row r="42">
      <c r="A42" s="16" t="inlineStr">
        <is>
          <t>TC-LV-05</t>
        </is>
      </c>
      <c r="B42" s="14" t="inlineStr">
        <is>
          <t>Leave</t>
        </is>
      </c>
      <c r="C42" s="18" t="inlineStr">
        <is>
          <t>Employee cannot approve their own leave</t>
        </is>
      </c>
      <c r="D42" s="14" t="inlineStr">
        <is>
          <t>Employee</t>
        </is>
      </c>
      <c r="E42" s="18" t="inlineStr">
        <is>
          <t>Own Open leave.</t>
        </is>
      </c>
      <c r="F42" s="18" t="inlineStr">
        <is>
          <t>Try to change the status or submit from the form (or ask a developer to try through the API).</t>
        </is>
      </c>
      <c r="G42" s="18" t="inlineStr">
        <is>
          <t>—</t>
        </is>
      </c>
      <c r="H42" s="18" t="inlineStr">
        <is>
          <t>Not allowed; leave stays Open.</t>
        </is>
      </c>
      <c r="I42" s="14" t="inlineStr">
        <is>
          <t>Critical</t>
        </is>
      </c>
      <c r="J42" s="14" t="inlineStr">
        <is>
          <t>Security</t>
        </is>
      </c>
      <c r="K42" s="14" t="inlineStr">
        <is>
          <t>SEC-08</t>
        </is>
      </c>
      <c r="L42" s="14" t="inlineStr">
        <is>
          <t>Pass</t>
        </is>
      </c>
      <c r="M42" s="19" t="inlineStr">
        <is>
          <t>Not run</t>
        </is>
      </c>
      <c r="N42" s="19" t="inlineStr"/>
      <c r="O42" s="19" t="inlineStr"/>
      <c r="P42" s="20" t="inlineStr"/>
      <c r="Q42" s="19" t="inlineStr"/>
      <c r="R42" s="14" t="inlineStr">
        <is>
          <t>21 Oct 2026</t>
        </is>
      </c>
      <c r="S42" s="14" t="inlineStr">
        <is>
          <t>21 Oct 2026</t>
        </is>
      </c>
    </row>
    <row r="43">
      <c r="A43" s="16" t="inlineStr">
        <is>
          <t>TC-LV-06</t>
        </is>
      </c>
      <c r="B43" s="14" t="inlineStr">
        <is>
          <t>Leave</t>
        </is>
      </c>
      <c r="C43" s="18" t="inlineStr">
        <is>
          <t>Half-day monthly limit</t>
        </is>
      </c>
      <c r="D43" s="14" t="inlineStr">
        <is>
          <t>Employee</t>
        </is>
      </c>
      <c r="E43" s="18" t="inlineStr">
        <is>
          <t>HR enabled the half-day limit in HR Settings.</t>
        </is>
      </c>
      <c r="F43" s="18" t="inlineStr">
        <is>
          <t>Request more half days in one month than the limit.</t>
        </is>
      </c>
      <c r="G43" s="18" t="inlineStr">
        <is>
          <t>Limit + 1</t>
        </is>
      </c>
      <c r="H43" s="18" t="inlineStr">
        <is>
          <t>The extra request is refused with a message about the monthly limit.</t>
        </is>
      </c>
      <c r="I43" s="14" t="inlineStr">
        <is>
          <t>Medium</t>
        </is>
      </c>
      <c r="J43" s="14" t="inlineStr">
        <is>
          <t>Negative</t>
        </is>
      </c>
      <c r="K43" s="14" t="inlineStr">
        <is>
          <t>unit tests</t>
        </is>
      </c>
      <c r="L43" s="14" t="inlineStr">
        <is>
          <t>Unit test</t>
        </is>
      </c>
      <c r="M43" s="19" t="inlineStr">
        <is>
          <t>Not run</t>
        </is>
      </c>
      <c r="N43" s="19" t="inlineStr"/>
      <c r="O43" s="19" t="inlineStr"/>
      <c r="P43" s="20" t="inlineStr"/>
      <c r="Q43" s="19" t="inlineStr"/>
      <c r="R43" s="14" t="inlineStr">
        <is>
          <t>21 Oct 2026</t>
        </is>
      </c>
      <c r="S43" s="14" t="inlineStr">
        <is>
          <t>21 Oct 2026</t>
        </is>
      </c>
    </row>
    <row r="44">
      <c r="A44" s="16" t="inlineStr">
        <is>
          <t>TC-LV-07</t>
        </is>
      </c>
      <c r="B44" s="14" t="inlineStr">
        <is>
          <t>Leave</t>
        </is>
      </c>
      <c r="C44" s="18" t="inlineStr">
        <is>
          <t>Sick leave stages are used in order</t>
        </is>
      </c>
      <c r="D44" s="14" t="inlineStr">
        <is>
          <t>HR Manager</t>
        </is>
      </c>
      <c r="E44" s="18" t="inlineStr">
        <is>
          <t>Sick leave year started for an employee (TC-HRD-05).</t>
        </is>
      </c>
      <c r="F44" s="18" t="inlineStr">
        <is>
          <t>1. Request Sick Leave 2 while Sick Leave 1 still has days.
2. Request sick leave across the Sick Leave 1 / 2 boundary.</t>
        </is>
      </c>
      <c r="G44" s="18" t="inlineStr">
        <is>
          <t>—</t>
        </is>
      </c>
      <c r="H44" s="18" t="inlineStr">
        <is>
          <t>Both refused: 'Sick leave is used in order: Sick Leave 1 (full pay), then 2 (75% pay), then 3 (unpaid)' / split the request at the stage boundary.</t>
        </is>
      </c>
      <c r="I44" s="14" t="inlineStr">
        <is>
          <t>Medium</t>
        </is>
      </c>
      <c r="J44" s="14" t="inlineStr">
        <is>
          <t>Negative</t>
        </is>
      </c>
      <c r="K44" s="14" t="inlineStr">
        <is>
          <t>unit tests</t>
        </is>
      </c>
      <c r="L44" s="14" t="inlineStr">
        <is>
          <t>Unit test</t>
        </is>
      </c>
      <c r="M44" s="19" t="inlineStr">
        <is>
          <t>Not run</t>
        </is>
      </c>
      <c r="N44" s="19" t="inlineStr"/>
      <c r="O44" s="19" t="inlineStr"/>
      <c r="P44" s="20" t="inlineStr"/>
      <c r="Q44" s="19" t="inlineStr"/>
      <c r="R44" s="14" t="inlineStr">
        <is>
          <t>21 Oct 2026</t>
        </is>
      </c>
      <c r="S44" s="14" t="inlineStr">
        <is>
          <t>22 Oct 2026</t>
        </is>
      </c>
    </row>
    <row r="45">
      <c r="A45" s="16" t="inlineStr">
        <is>
          <t>TC-LV-08</t>
        </is>
      </c>
      <c r="B45" s="14" t="inlineStr">
        <is>
          <t>Leave</t>
        </is>
      </c>
      <c r="C45" s="18" t="inlineStr">
        <is>
          <t>Leave Return after annual leave</t>
        </is>
      </c>
      <c r="D45" s="14" t="inlineStr">
        <is>
          <t>Employee</t>
        </is>
      </c>
      <c r="E45" s="18" t="inlineStr">
        <is>
          <t>An approved annual leave.</t>
        </is>
      </c>
      <c r="F45" s="18" t="inlineStr">
        <is>
          <t>Leave Return -&gt; pick the approved leave -&gt; return date -&gt; Send.</t>
        </is>
      </c>
      <c r="G45" s="18" t="inlineStr">
        <is>
          <t>—</t>
        </is>
      </c>
      <c r="H45" s="18" t="inlineStr">
        <is>
          <t>Status Pending HR Review; only own approved leave is offered; 'You were due back on ...' shows the day after the leave; no fitness certificate asked.</t>
        </is>
      </c>
      <c r="I45" s="14" t="inlineStr">
        <is>
          <t>High</t>
        </is>
      </c>
      <c r="J45" s="14" t="inlineStr">
        <is>
          <t>Functional</t>
        </is>
      </c>
      <c r="K45" s="14" t="inlineStr">
        <is>
          <t>APR-06, LV-04</t>
        </is>
      </c>
      <c r="L45" s="14" t="inlineStr">
        <is>
          <t>Pass</t>
        </is>
      </c>
      <c r="M45" s="19" t="inlineStr">
        <is>
          <t>Not run</t>
        </is>
      </c>
      <c r="N45" s="19" t="inlineStr"/>
      <c r="O45" s="19" t="inlineStr"/>
      <c r="P45" s="20" t="inlineStr"/>
      <c r="Q45" s="19" t="inlineStr"/>
      <c r="R45" s="14" t="inlineStr">
        <is>
          <t>21 Oct 2026</t>
        </is>
      </c>
      <c r="S45" s="14" t="inlineStr">
        <is>
          <t>22 Oct 2026</t>
        </is>
      </c>
    </row>
    <row r="46">
      <c r="A46" s="16" t="inlineStr">
        <is>
          <t>TC-LV-09</t>
        </is>
      </c>
      <c r="B46" s="14" t="inlineStr">
        <is>
          <t>Leave</t>
        </is>
      </c>
      <c r="C46" s="18" t="inlineStr">
        <is>
          <t>Leave Application lists only the leave you hold</t>
        </is>
      </c>
      <c r="D46" s="14" t="inlineStr">
        <is>
          <t>Employee</t>
        </is>
      </c>
      <c r="E46" s="18" t="inlineStr">
        <is>
          <t>Employee has Annual Leave this year.</t>
        </is>
      </c>
      <c r="F46" s="18" t="inlineStr">
        <is>
          <t>Leave Application -&gt; New Request -&gt; open the Leave Type list.</t>
        </is>
      </c>
      <c r="G46" s="18" t="inlineStr">
        <is>
          <t>—</t>
        </is>
      </c>
      <c r="H46" s="18" t="inlineStr">
        <is>
          <t>Only leave the employee holds, each with the days left (e.g. 'Annual Leave (21 days left)'), and Leave Without Pay last. No Casual, Privilege, Compensatory Off or Sick Leave types.</t>
        </is>
      </c>
      <c r="I46" s="14" t="inlineStr">
        <is>
          <t>Critical</t>
        </is>
      </c>
      <c r="J46" s="14" t="inlineStr">
        <is>
          <t>Functional</t>
        </is>
      </c>
      <c r="K46" s="14" t="inlineStr">
        <is>
          <t>LV-01</t>
        </is>
      </c>
      <c r="L46" s="14" t="inlineStr">
        <is>
          <t>Pass</t>
        </is>
      </c>
      <c r="M46" s="19" t="inlineStr">
        <is>
          <t>Not run</t>
        </is>
      </c>
      <c r="N46" s="19" t="inlineStr"/>
      <c r="O46" s="19" t="inlineStr"/>
      <c r="P46" s="20" t="inlineStr"/>
      <c r="Q46" s="19" t="inlineStr"/>
      <c r="R46" s="14" t="inlineStr">
        <is>
          <t>22 Oct 2026</t>
        </is>
      </c>
      <c r="S46" s="14" t="inlineStr">
        <is>
          <t>22 Oct 2026</t>
        </is>
      </c>
    </row>
    <row r="47">
      <c r="A47" s="16" t="inlineStr">
        <is>
          <t>TC-LV-10</t>
        </is>
      </c>
      <c r="B47" s="14" t="inlineStr">
        <is>
          <t>Leave</t>
        </is>
      </c>
      <c r="C47" s="18" t="inlineStr">
        <is>
          <t>Send a Leave Plan</t>
        </is>
      </c>
      <c r="D47" s="14" t="inlineStr">
        <is>
          <t>Employee</t>
        </is>
      </c>
      <c r="E47" s="18" t="inlineStr">
        <is>
          <t>—</t>
        </is>
      </c>
      <c r="F47" s="18" t="inlineStr">
        <is>
          <t>1. Leave Plan -&gt; New Request.
2. Annual Leave, 4 days in December, notes.
3. Send.</t>
        </is>
      </c>
      <c r="G47" s="18" t="inlineStr">
        <is>
          <t>4 days</t>
        </is>
      </c>
      <c r="H47" s="18" t="inlineStr">
        <is>
          <t>Status Pending Manager; Leave Days = working days in the period; For Year set; the balance does not change.</t>
        </is>
      </c>
      <c r="I47" s="14" t="inlineStr">
        <is>
          <t>High</t>
        </is>
      </c>
      <c r="J47" s="14" t="inlineStr">
        <is>
          <t>Functional</t>
        </is>
      </c>
      <c r="K47" s="14" t="inlineStr">
        <is>
          <t>LV-02</t>
        </is>
      </c>
      <c r="L47" s="14" t="inlineStr">
        <is>
          <t>Pass</t>
        </is>
      </c>
      <c r="M47" s="19" t="inlineStr">
        <is>
          <t>Not run</t>
        </is>
      </c>
      <c r="N47" s="19" t="inlineStr"/>
      <c r="O47" s="19" t="inlineStr"/>
      <c r="P47" s="20" t="inlineStr"/>
      <c r="Q47" s="19" t="inlineStr"/>
      <c r="R47" s="14" t="inlineStr">
        <is>
          <t>22 Oct 2026</t>
        </is>
      </c>
      <c r="S47" s="14" t="inlineStr">
        <is>
          <t>22 Oct 2026</t>
        </is>
      </c>
    </row>
    <row r="48">
      <c r="A48" s="16" t="inlineStr">
        <is>
          <t>TC-LV-11</t>
        </is>
      </c>
      <c r="B48" s="14" t="inlineStr">
        <is>
          <t>Leave</t>
        </is>
      </c>
      <c r="C48" s="18" t="inlineStr">
        <is>
          <t>Overlapping or backwards plan is refused</t>
        </is>
      </c>
      <c r="D48" s="14" t="inlineStr">
        <is>
          <t>Employee</t>
        </is>
      </c>
      <c r="E48" s="18" t="inlineStr">
        <is>
          <t>TC-LV-10 done.</t>
        </is>
      </c>
      <c r="F48" s="18" t="inlineStr">
        <is>
          <t>1. Send a plan that overlaps the first one.
2. Send a plan whose To Date is before its From Date.</t>
        </is>
      </c>
      <c r="G48" s="18" t="inlineStr">
        <is>
          <t>—</t>
        </is>
      </c>
      <c r="H48" s="18" t="inlineStr">
        <is>
          <t>Both refused with a clear message; nothing saved.</t>
        </is>
      </c>
      <c r="I48" s="14" t="inlineStr">
        <is>
          <t>Medium</t>
        </is>
      </c>
      <c r="J48" s="14" t="inlineStr">
        <is>
          <t>Negative</t>
        </is>
      </c>
      <c r="K48" s="14" t="inlineStr">
        <is>
          <t>unit tests</t>
        </is>
      </c>
      <c r="L48" s="14" t="inlineStr">
        <is>
          <t>Unit test</t>
        </is>
      </c>
      <c r="M48" s="19" t="inlineStr">
        <is>
          <t>Not run</t>
        </is>
      </c>
      <c r="N48" s="19" t="inlineStr"/>
      <c r="O48" s="19" t="inlineStr"/>
      <c r="P48" s="20" t="inlineStr"/>
      <c r="Q48" s="19" t="inlineStr"/>
      <c r="R48" s="14" t="inlineStr">
        <is>
          <t>22 Oct 2026</t>
        </is>
      </c>
      <c r="S48" s="14" t="inlineStr">
        <is>
          <t>22 Oct 2026</t>
        </is>
      </c>
    </row>
    <row r="49">
      <c r="A49" s="16" t="inlineStr">
        <is>
          <t>TC-LV-12</t>
        </is>
      </c>
      <c r="B49" s="14" t="inlineStr">
        <is>
          <t>Leave</t>
        </is>
      </c>
      <c r="C49" s="18" t="inlineStr">
        <is>
          <t>Manager and department head approve the plan</t>
        </is>
      </c>
      <c r="D49" s="14" t="inlineStr">
        <is>
          <t>HR Manager</t>
        </is>
      </c>
      <c r="E49" s="18" t="inlineStr">
        <is>
          <t>TC-LV-10 done.</t>
        </is>
      </c>
      <c r="F49" s="18" t="inlineStr">
        <is>
          <t>Open the Leave Plan Request; set Status Pending Dept Head, Save; then Approved, Save.</t>
        </is>
      </c>
      <c r="G49" s="18" t="inlineStr">
        <is>
          <t>—</t>
        </is>
      </c>
      <c r="H49" s="18" t="inlineStr">
        <is>
          <t>Approved; the form says the employee applies from the Employee Portal (Apply now).</t>
        </is>
      </c>
      <c r="I49" s="14" t="inlineStr">
        <is>
          <t>High</t>
        </is>
      </c>
      <c r="J49" s="14" t="inlineStr">
        <is>
          <t>Functional</t>
        </is>
      </c>
      <c r="K49" s="14" t="inlineStr">
        <is>
          <t>LV-03</t>
        </is>
      </c>
      <c r="L49" s="14" t="inlineStr">
        <is>
          <t>Pass</t>
        </is>
      </c>
      <c r="M49" s="19" t="inlineStr">
        <is>
          <t>Not run</t>
        </is>
      </c>
      <c r="N49" s="19" t="inlineStr"/>
      <c r="O49" s="19" t="inlineStr"/>
      <c r="P49" s="20" t="inlineStr"/>
      <c r="Q49" s="19" t="inlineStr"/>
      <c r="R49" s="14" t="inlineStr">
        <is>
          <t>22 Oct 2026</t>
        </is>
      </c>
      <c r="S49" s="14" t="inlineStr">
        <is>
          <t>22 Oct 2026</t>
        </is>
      </c>
    </row>
    <row r="50">
      <c r="A50" s="16" t="inlineStr">
        <is>
          <t>TC-LV-13</t>
        </is>
      </c>
      <c r="B50" s="14" t="inlineStr">
        <is>
          <t>Leave</t>
        </is>
      </c>
      <c r="C50" s="18" t="inlineStr">
        <is>
          <t>Apply now from an approved plan</t>
        </is>
      </c>
      <c r="D50" s="14" t="inlineStr">
        <is>
          <t>Employee</t>
        </is>
      </c>
      <c r="E50" s="18" t="inlineStr">
        <is>
          <t>TC-LV-12 done.</t>
        </is>
      </c>
      <c r="F50" s="18" t="inlineStr">
        <is>
          <t>Employee Dashboard &gt; My Leave &gt; 'Plan approved ...' &gt; Apply now -&gt; Send.</t>
        </is>
      </c>
      <c r="G50" s="18" t="inlineStr">
        <is>
          <t>—</t>
        </is>
      </c>
      <c r="H50" s="18" t="inlineStr">
        <is>
          <t>The Leave Application opens with the plan's type and dates; after sending it is Open and the plan shows it under 'Applied As'.</t>
        </is>
      </c>
      <c r="I50" s="14" t="inlineStr">
        <is>
          <t>High</t>
        </is>
      </c>
      <c r="J50" s="14" t="inlineStr">
        <is>
          <t>Functional</t>
        </is>
      </c>
      <c r="K50" s="14" t="inlineStr">
        <is>
          <t>LV-03</t>
        </is>
      </c>
      <c r="L50" s="14" t="inlineStr">
        <is>
          <t>Pass</t>
        </is>
      </c>
      <c r="M50" s="19" t="inlineStr">
        <is>
          <t>Not run</t>
        </is>
      </c>
      <c r="N50" s="19" t="inlineStr"/>
      <c r="O50" s="19" t="inlineStr"/>
      <c r="P50" s="20" t="inlineStr"/>
      <c r="Q50" s="19" t="inlineStr"/>
      <c r="R50" s="14" t="inlineStr">
        <is>
          <t>22 Oct 2026</t>
        </is>
      </c>
      <c r="S50" s="14" t="inlineStr">
        <is>
          <t>22 Oct 2026</t>
        </is>
      </c>
    </row>
    <row r="51">
      <c r="A51" s="16" t="inlineStr">
        <is>
          <t>TC-LV-14</t>
        </is>
      </c>
      <c r="B51" s="14" t="inlineStr">
        <is>
          <t>Leave</t>
        </is>
      </c>
      <c r="C51" s="18" t="inlineStr">
        <is>
          <t>The dashboard asks for the return after a leave</t>
        </is>
      </c>
      <c r="D51" s="14" t="inlineStr">
        <is>
          <t>Employee</t>
        </is>
      </c>
      <c r="E51" s="18" t="inlineStr">
        <is>
          <t>An approved leave that ended yesterday or earlier.</t>
        </is>
      </c>
      <c r="F51" s="18" t="inlineStr">
        <is>
          <t>Employee Dashboard &gt; My Leave &gt; Send Leave Return -&gt; Send.</t>
        </is>
      </c>
      <c r="G51" s="18" t="inlineStr">
        <is>
          <t>—</t>
        </is>
      </c>
      <c r="H51" s="18" t="inlineStr">
        <is>
          <t>'Your leave ended on ... Tell HR you are back.'; the dialog is pre-filled with that leave and the day after it; no certificate for annual leave; sent as Pending HR Review.</t>
        </is>
      </c>
      <c r="I51" s="14" t="inlineStr">
        <is>
          <t>High</t>
        </is>
      </c>
      <c r="J51" s="14" t="inlineStr">
        <is>
          <t>Functional</t>
        </is>
      </c>
      <c r="K51" s="14" t="inlineStr">
        <is>
          <t>LV-04</t>
        </is>
      </c>
      <c r="L51" s="14" t="inlineStr">
        <is>
          <t>Pass</t>
        </is>
      </c>
      <c r="M51" s="19" t="inlineStr">
        <is>
          <t>Not run</t>
        </is>
      </c>
      <c r="N51" s="19" t="inlineStr"/>
      <c r="O51" s="19" t="inlineStr"/>
      <c r="P51" s="20" t="inlineStr"/>
      <c r="Q51" s="19" t="inlineStr"/>
      <c r="R51" s="14" t="inlineStr">
        <is>
          <t>22 Oct 2026</t>
        </is>
      </c>
      <c r="S51" s="14" t="inlineStr">
        <is>
          <t>22 Oct 2026</t>
        </is>
      </c>
    </row>
    <row r="52">
      <c r="A52" s="16" t="inlineStr">
        <is>
          <t>TC-LV-15</t>
        </is>
      </c>
      <c r="B52" s="14" t="inlineStr">
        <is>
          <t>Leave</t>
        </is>
      </c>
      <c r="C52" s="18" t="inlineStr">
        <is>
          <t>Return after sick leave: certificate and clearance</t>
        </is>
      </c>
      <c r="D52" s="14" t="inlineStr">
        <is>
          <t>HR Manager</t>
        </is>
      </c>
      <c r="E52" s="18" t="inlineStr">
        <is>
          <t>An approved Sick Leave 1 application that has ended.</t>
        </is>
      </c>
      <c r="F52" s="18" t="inlineStr">
        <is>
          <t>1. As the employee send the Leave Return without a fitness certificate, then with one.
2. As HR set Status Completed without a clearance; then Occupational Health Clearance = Cleared for Full Duty and Completed.</t>
        </is>
      </c>
      <c r="G52" s="18" t="inlineStr">
        <is>
          <t>Small PDF</t>
        </is>
      </c>
      <c r="H52" s="18" t="inlineStr">
        <is>
          <t>Without the certificate: refused. Completed without clearance: refused. With the clearance: Completed.</t>
        </is>
      </c>
      <c r="I52" s="14" t="inlineStr">
        <is>
          <t>High</t>
        </is>
      </c>
      <c r="J52" s="14" t="inlineStr">
        <is>
          <t>Functional</t>
        </is>
      </c>
      <c r="K52" s="14" t="inlineStr">
        <is>
          <t>unit tests</t>
        </is>
      </c>
      <c r="L52" s="14" t="inlineStr">
        <is>
          <t>Unit test</t>
        </is>
      </c>
      <c r="M52" s="19" t="inlineStr">
        <is>
          <t>Not run</t>
        </is>
      </c>
      <c r="N52" s="19" t="inlineStr"/>
      <c r="O52" s="19" t="inlineStr"/>
      <c r="P52" s="20" t="inlineStr"/>
      <c r="Q52" s="19" t="inlineStr"/>
      <c r="R52" s="14" t="inlineStr">
        <is>
          <t>22 Oct 2026</t>
        </is>
      </c>
      <c r="S52" s="14" t="inlineStr">
        <is>
          <t>22 Oct 2026</t>
        </is>
      </c>
    </row>
    <row r="53">
      <c r="A53" s="16" t="inlineStr">
        <is>
          <t>TC-LV-16</t>
        </is>
      </c>
      <c r="B53" s="14" t="inlineStr">
        <is>
          <t>Leave</t>
        </is>
      </c>
      <c r="C53" s="18" t="inlineStr">
        <is>
          <t>One return per leave; annual leave skips occupational health</t>
        </is>
      </c>
      <c r="D53" s="14" t="inlineStr">
        <is>
          <t>HR Manager</t>
        </is>
      </c>
      <c r="E53" s="18" t="inlineStr">
        <is>
          <t>TC-LV-14 done.</t>
        </is>
      </c>
      <c r="F53" s="18" t="inlineStr">
        <is>
          <t>1. Send a second return for the same leave.
2. As HR set the annual-leave return to Pending Occupational Health.</t>
        </is>
      </c>
      <c r="G53" s="18" t="inlineStr">
        <is>
          <t>—</t>
        </is>
      </c>
      <c r="H53" s="18" t="inlineStr">
        <is>
          <t>Both refused with a message; HR can set it to Completed.</t>
        </is>
      </c>
      <c r="I53" s="14" t="inlineStr">
        <is>
          <t>Medium</t>
        </is>
      </c>
      <c r="J53" s="14" t="inlineStr">
        <is>
          <t>Negative</t>
        </is>
      </c>
      <c r="K53" s="14" t="inlineStr">
        <is>
          <t>LV-05; unit tests</t>
        </is>
      </c>
      <c r="L53" s="14" t="inlineStr">
        <is>
          <t>Pass</t>
        </is>
      </c>
      <c r="M53" s="19" t="inlineStr">
        <is>
          <t>Not run</t>
        </is>
      </c>
      <c r="N53" s="19" t="inlineStr"/>
      <c r="O53" s="19" t="inlineStr"/>
      <c r="P53" s="20" t="inlineStr"/>
      <c r="Q53" s="19" t="inlineStr"/>
      <c r="R53" s="14" t="inlineStr">
        <is>
          <t>22 Oct 2026</t>
        </is>
      </c>
      <c r="S53" s="14" t="inlineStr">
        <is>
          <t>22 Oct 2026</t>
        </is>
      </c>
    </row>
    <row r="54">
      <c r="A54" s="16" t="inlineStr">
        <is>
          <t>TC-LV-17</t>
        </is>
      </c>
      <c r="B54" s="14" t="inlineStr">
        <is>
          <t>Leave</t>
        </is>
      </c>
      <c r="C54" s="18" t="inlineStr">
        <is>
          <t>Sick leave types in pay order</t>
        </is>
      </c>
      <c r="D54" s="14" t="inlineStr">
        <is>
          <t>HR Manager</t>
        </is>
      </c>
      <c r="E54" s="18" t="inlineStr">
        <is>
          <t>After migrate.</t>
        </is>
      </c>
      <c r="F54" s="18" t="inlineStr">
        <is>
          <t>Open /app/leave-type.</t>
        </is>
      </c>
      <c r="G54" s="18" t="inlineStr">
        <is>
          <t>—</t>
        </is>
      </c>
      <c r="H54" s="18" t="inlineStr">
        <is>
          <t>Sick Leave 1 - Full Pay, Sick Leave 2 - 75% Pay, Sick Leave 3 - Unpaid; employees' sick balances kept.</t>
        </is>
      </c>
      <c r="I54" s="14" t="inlineStr">
        <is>
          <t>Low</t>
        </is>
      </c>
      <c r="J54" s="14" t="inlineStr">
        <is>
          <t>Regression</t>
        </is>
      </c>
      <c r="K54" s="14" t="inlineStr">
        <is>
          <t>LV-07</t>
        </is>
      </c>
      <c r="L54" s="14" t="inlineStr">
        <is>
          <t>Pass</t>
        </is>
      </c>
      <c r="M54" s="19" t="inlineStr">
        <is>
          <t>Not run</t>
        </is>
      </c>
      <c r="N54" s="19" t="inlineStr"/>
      <c r="O54" s="19" t="inlineStr"/>
      <c r="P54" s="20" t="inlineStr"/>
      <c r="Q54" s="19" t="inlineStr"/>
      <c r="R54" s="14" t="inlineStr">
        <is>
          <t>22 Oct 2026</t>
        </is>
      </c>
      <c r="S54" s="14" t="inlineStr">
        <is>
          <t>22 Oct 2026</t>
        </is>
      </c>
    </row>
    <row r="55">
      <c r="A55" s="16" t="inlineStr">
        <is>
          <t>TC-APR-01</t>
        </is>
      </c>
      <c r="B55" s="14" t="inlineStr">
        <is>
          <t>HR approvals</t>
        </is>
      </c>
      <c r="C55" s="18" t="inlineStr">
        <is>
          <t>Approve a Permission Request</t>
        </is>
      </c>
      <c r="D55" s="14" t="inlineStr">
        <is>
          <t>HR Manager</t>
        </is>
      </c>
      <c r="E55" s="18" t="inlineStr">
        <is>
          <t>A Pending request.</t>
        </is>
      </c>
      <c r="F55" s="18" t="inlineStr">
        <is>
          <t>Open it, Status = Approved, Save.</t>
        </is>
      </c>
      <c r="G55" s="18" t="inlineStr">
        <is>
          <t>—</t>
        </is>
      </c>
      <c r="H55" s="18" t="inlineStr">
        <is>
          <t>Saved; the employee sees Approved.</t>
        </is>
      </c>
      <c r="I55" s="14" t="inlineStr">
        <is>
          <t>High</t>
        </is>
      </c>
      <c r="J55" s="14" t="inlineStr">
        <is>
          <t>Functional</t>
        </is>
      </c>
      <c r="K55" s="14" t="inlineStr">
        <is>
          <t>APR-01</t>
        </is>
      </c>
      <c r="L55" s="14" t="inlineStr">
        <is>
          <t>Pass</t>
        </is>
      </c>
      <c r="M55" s="19" t="inlineStr">
        <is>
          <t>Not run</t>
        </is>
      </c>
      <c r="N55" s="19" t="inlineStr"/>
      <c r="O55" s="19" t="inlineStr"/>
      <c r="P55" s="20" t="inlineStr"/>
      <c r="Q55" s="19" t="inlineStr"/>
      <c r="R55" s="14" t="inlineStr">
        <is>
          <t>21 Oct 2026</t>
        </is>
      </c>
      <c r="S55" s="14" t="inlineStr">
        <is>
          <t>21 Oct 2026</t>
        </is>
      </c>
    </row>
    <row r="56">
      <c r="A56" s="16" t="inlineStr">
        <is>
          <t>TC-APR-02</t>
        </is>
      </c>
      <c r="B56" s="14" t="inlineStr">
        <is>
          <t>HR approvals</t>
        </is>
      </c>
      <c r="C56" s="18" t="inlineStr">
        <is>
          <t>Reject a Training Request</t>
        </is>
      </c>
      <c r="D56" s="14" t="inlineStr">
        <is>
          <t>HR Manager</t>
        </is>
      </c>
      <c r="E56" s="18" t="inlineStr">
        <is>
          <t>A Pending request.</t>
        </is>
      </c>
      <c r="F56" s="18" t="inlineStr">
        <is>
          <t>Status = Rejected, Save.</t>
        </is>
      </c>
      <c r="G56" s="18" t="inlineStr">
        <is>
          <t>—</t>
        </is>
      </c>
      <c r="H56" s="18" t="inlineStr">
        <is>
          <t>Saved as Rejected.</t>
        </is>
      </c>
      <c r="I56" s="14" t="inlineStr">
        <is>
          <t>High</t>
        </is>
      </c>
      <c r="J56" s="14" t="inlineStr">
        <is>
          <t>Functional</t>
        </is>
      </c>
      <c r="K56" s="14" t="inlineStr">
        <is>
          <t>APR-02</t>
        </is>
      </c>
      <c r="L56" s="14" t="inlineStr">
        <is>
          <t>Pass</t>
        </is>
      </c>
      <c r="M56" s="19" t="inlineStr">
        <is>
          <t>Not run</t>
        </is>
      </c>
      <c r="N56" s="19" t="inlineStr"/>
      <c r="O56" s="19" t="inlineStr"/>
      <c r="P56" s="20" t="inlineStr"/>
      <c r="Q56" s="19" t="inlineStr"/>
      <c r="R56" s="14" t="inlineStr">
        <is>
          <t>21 Oct 2026</t>
        </is>
      </c>
      <c r="S56" s="14" t="inlineStr">
        <is>
          <t>21 Oct 2026</t>
        </is>
      </c>
    </row>
    <row r="57">
      <c r="A57" s="16" t="inlineStr">
        <is>
          <t>TC-APR-03</t>
        </is>
      </c>
      <c r="B57" s="14" t="inlineStr">
        <is>
          <t>HR approvals</t>
        </is>
      </c>
      <c r="C57" s="18" t="inlineStr">
        <is>
          <t>Issue a Salary Certificate</t>
        </is>
      </c>
      <c r="D57" s="14" t="inlineStr">
        <is>
          <t>HR Manager</t>
        </is>
      </c>
      <c r="E57" s="18" t="inlineStr">
        <is>
          <t>A Pending request.</t>
        </is>
      </c>
      <c r="F57" s="18" t="inlineStr">
        <is>
          <t>Status = Issued, Save.</t>
        </is>
      </c>
      <c r="G57" s="18" t="inlineStr">
        <is>
          <t>—</t>
        </is>
      </c>
      <c r="H57" s="18" t="inlineStr">
        <is>
          <t>Saved as Issued.</t>
        </is>
      </c>
      <c r="I57" s="14" t="inlineStr">
        <is>
          <t>Medium</t>
        </is>
      </c>
      <c r="J57" s="14" t="inlineStr">
        <is>
          <t>Functional</t>
        </is>
      </c>
      <c r="K57" s="14" t="inlineStr">
        <is>
          <t>APR-03</t>
        </is>
      </c>
      <c r="L57" s="14" t="inlineStr">
        <is>
          <t>Pass</t>
        </is>
      </c>
      <c r="M57" s="19" t="inlineStr">
        <is>
          <t>Not run</t>
        </is>
      </c>
      <c r="N57" s="19" t="inlineStr"/>
      <c r="O57" s="19" t="inlineStr"/>
      <c r="P57" s="20" t="inlineStr"/>
      <c r="Q57" s="19" t="inlineStr"/>
      <c r="R57" s="14" t="inlineStr">
        <is>
          <t>21 Oct 2026</t>
        </is>
      </c>
      <c r="S57" s="14" t="inlineStr">
        <is>
          <t>21 Oct 2026</t>
        </is>
      </c>
    </row>
    <row r="58">
      <c r="A58" s="16" t="inlineStr">
        <is>
          <t>TC-APR-04</t>
        </is>
      </c>
      <c r="B58" s="14" t="inlineStr">
        <is>
          <t>HR approvals</t>
        </is>
      </c>
      <c r="C58" s="18" t="inlineStr">
        <is>
          <t>HR User sees all employees' requests</t>
        </is>
      </c>
      <c r="D58" s="14" t="inlineStr">
        <is>
          <t>HR User</t>
        </is>
      </c>
      <c r="E58" s="18" t="inlineStr">
        <is>
          <t>Requests from two employees.</t>
        </is>
      </c>
      <c r="F58" s="18" t="inlineStr">
        <is>
          <t>Open each request list.</t>
        </is>
      </c>
      <c r="G58" s="18" t="inlineStr">
        <is>
          <t>—</t>
        </is>
      </c>
      <c r="H58" s="18" t="inlineStr">
        <is>
          <t>Requests of all employees are listed, including Leave Return Request.</t>
        </is>
      </c>
      <c r="I58" s="14" t="inlineStr">
        <is>
          <t>High</t>
        </is>
      </c>
      <c r="J58" s="14" t="inlineStr">
        <is>
          <t>Functional</t>
        </is>
      </c>
      <c r="K58" s="14" t="inlineStr">
        <is>
          <t>APR-07</t>
        </is>
      </c>
      <c r="L58" s="14" t="inlineStr">
        <is>
          <t>Pass</t>
        </is>
      </c>
      <c r="M58" s="19" t="inlineStr">
        <is>
          <t>Not run</t>
        </is>
      </c>
      <c r="N58" s="19" t="inlineStr"/>
      <c r="O58" s="19" t="inlineStr"/>
      <c r="P58" s="20" t="inlineStr"/>
      <c r="Q58" s="19" t="inlineStr"/>
      <c r="R58" s="14" t="inlineStr">
        <is>
          <t>21 Oct 2026</t>
        </is>
      </c>
      <c r="S58" s="14" t="inlineStr">
        <is>
          <t>21 Oct 2026</t>
        </is>
      </c>
    </row>
    <row r="59">
      <c r="A59" s="16" t="inlineStr">
        <is>
          <t>TC-APR-05</t>
        </is>
      </c>
      <c r="B59" s="14" t="inlineStr">
        <is>
          <t>HR approvals</t>
        </is>
      </c>
      <c r="C59" s="18" t="inlineStr">
        <is>
          <t>Finance step on money requests</t>
        </is>
      </c>
      <c r="D59" s="14" t="inlineStr">
        <is>
          <t>Finance Manager</t>
        </is>
      </c>
      <c r="E59" s="18" t="inlineStr">
        <is>
          <t>A Training / Car / Allowance request at the finance step.</t>
        </is>
      </c>
      <c r="F59" s="18" t="inlineStr">
        <is>
          <t>Open and approve.</t>
        </is>
      </c>
      <c r="G59" s="18" t="inlineStr">
        <is>
          <t>—</t>
        </is>
      </c>
      <c r="H59" s="18" t="inlineStr">
        <is>
          <t>Finance Manager can approve; HR cannot skip the finance step.</t>
        </is>
      </c>
      <c r="I59" s="14" t="inlineStr">
        <is>
          <t>High</t>
        </is>
      </c>
      <c r="J59" s="14" t="inlineStr">
        <is>
          <t>Functional</t>
        </is>
      </c>
      <c r="K59" s="14" t="inlineStr">
        <is>
          <t>—</t>
        </is>
      </c>
      <c r="L59" s="14" t="inlineStr">
        <is>
          <t>Manual only</t>
        </is>
      </c>
      <c r="M59" s="19" t="inlineStr">
        <is>
          <t>Not run</t>
        </is>
      </c>
      <c r="N59" s="19" t="inlineStr"/>
      <c r="O59" s="19" t="inlineStr"/>
      <c r="P59" s="20" t="inlineStr"/>
      <c r="Q59" s="19" t="inlineStr"/>
      <c r="R59" s="14" t="inlineStr">
        <is>
          <t>21 Oct 2026</t>
        </is>
      </c>
      <c r="S59" s="14" t="inlineStr">
        <is>
          <t>21 Oct 2026</t>
        </is>
      </c>
    </row>
    <row r="60">
      <c r="A60" s="16" t="inlineStr">
        <is>
          <t>TC-APR-06</t>
        </is>
      </c>
      <c r="B60" s="14" t="inlineStr">
        <is>
          <t>HR approvals</t>
        </is>
      </c>
      <c r="C60" s="18" t="inlineStr">
        <is>
          <t>Travel Request</t>
        </is>
      </c>
      <c r="D60" s="14" t="inlineStr">
        <is>
          <t>HR Manager</t>
        </is>
      </c>
      <c r="E60" s="18" t="inlineStr">
        <is>
          <t>—</t>
        </is>
      </c>
      <c r="F60" s="18" t="inlineStr">
        <is>
          <t>Create a Travel Request with costings; save; submit.</t>
        </is>
      </c>
      <c r="G60" s="18" t="inlineStr">
        <is>
          <t>Costs</t>
        </is>
      </c>
      <c r="H60" s="18" t="inlineStr">
        <is>
          <t>Saves and submits without error.</t>
        </is>
      </c>
      <c r="I60" s="14" t="inlineStr">
        <is>
          <t>Medium</t>
        </is>
      </c>
      <c r="J60" s="14" t="inlineStr">
        <is>
          <t>Regression</t>
        </is>
      </c>
      <c r="K60" s="14" t="inlineStr">
        <is>
          <t>HRD-03</t>
        </is>
      </c>
      <c r="L60" s="14" t="inlineStr">
        <is>
          <t>Pass</t>
        </is>
      </c>
      <c r="M60" s="19" t="inlineStr">
        <is>
          <t>Not run</t>
        </is>
      </c>
      <c r="N60" s="19" t="inlineStr"/>
      <c r="O60" s="19" t="inlineStr"/>
      <c r="P60" s="20" t="inlineStr"/>
      <c r="Q60" s="19" t="inlineStr"/>
      <c r="R60" s="14" t="inlineStr">
        <is>
          <t>21 Oct 2026</t>
        </is>
      </c>
      <c r="S60" s="14" t="inlineStr">
        <is>
          <t>21 Oct 2026</t>
        </is>
      </c>
    </row>
    <row r="61">
      <c r="A61" s="16" t="inlineStr">
        <is>
          <t>TC-APR-07</t>
        </is>
      </c>
      <c r="B61" s="14" t="inlineStr">
        <is>
          <t>HR approvals</t>
        </is>
      </c>
      <c r="C61" s="18" t="inlineStr">
        <is>
          <t>HR opens a new Expense Claim</t>
        </is>
      </c>
      <c r="D61" s="14" t="inlineStr">
        <is>
          <t>HR Manager</t>
        </is>
      </c>
      <c r="E61" s="18" t="inlineStr">
        <is>
          <t>HR account (also try the HR User account).</t>
        </is>
      </c>
      <c r="F61" s="18" t="inlineStr">
        <is>
          <t>Open Expense Claim -&gt; + Add.</t>
        </is>
      </c>
      <c r="G61" s="18" t="inlineStr">
        <is>
          <t>—</t>
        </is>
      </c>
      <c r="H61" s="18" t="inlineStr">
        <is>
          <t>Form opens with the cost center filled; NO 'You do not have Read or Select Permissions for Cost Center' pop-up.</t>
        </is>
      </c>
      <c r="I61" s="14" t="inlineStr">
        <is>
          <t>High</t>
        </is>
      </c>
      <c r="J61" s="14" t="inlineStr">
        <is>
          <t>Regression</t>
        </is>
      </c>
      <c r="K61" s="14" t="inlineStr">
        <is>
          <t>SWP-01/02</t>
        </is>
      </c>
      <c r="L61" s="14" t="inlineStr">
        <is>
          <t>Pass</t>
        </is>
      </c>
      <c r="M61" s="19" t="inlineStr">
        <is>
          <t>Not run</t>
        </is>
      </c>
      <c r="N61" s="19" t="inlineStr"/>
      <c r="O61" s="19" t="inlineStr"/>
      <c r="P61" s="20" t="inlineStr"/>
      <c r="Q61" s="19" t="inlineStr"/>
      <c r="R61" s="14" t="inlineStr">
        <is>
          <t>21 Oct 2026</t>
        </is>
      </c>
      <c r="S61" s="14" t="inlineStr">
        <is>
          <t>21 Oct 2026</t>
        </is>
      </c>
    </row>
    <row r="62">
      <c r="A62" s="16" t="inlineStr">
        <is>
          <t>TC-APR-08</t>
        </is>
      </c>
      <c r="B62" s="14" t="inlineStr">
        <is>
          <t>HR approvals</t>
        </is>
      </c>
      <c r="C62" s="18" t="inlineStr">
        <is>
          <t>HR User opens the Holiday List</t>
        </is>
      </c>
      <c r="D62" s="14" t="inlineStr">
        <is>
          <t>HR User</t>
        </is>
      </c>
      <c r="E62" s="18" t="inlineStr">
        <is>
          <t>HR User account.</t>
        </is>
      </c>
      <c r="F62" s="18" t="inlineStr">
        <is>
          <t>1. Open /app/holiday-list.
2. Open a holiday list.</t>
        </is>
      </c>
      <c r="G62" s="18" t="inlineStr">
        <is>
          <t>—</t>
        </is>
      </c>
      <c r="H62" s="18" t="inlineStr">
        <is>
          <t>List and record open read-only; no 'Not permitted'.</t>
        </is>
      </c>
      <c r="I62" s="14" t="inlineStr">
        <is>
          <t>Medium</t>
        </is>
      </c>
      <c r="J62" s="14" t="inlineStr">
        <is>
          <t>Regression</t>
        </is>
      </c>
      <c r="K62" s="14" t="inlineStr">
        <is>
          <t>SWP-02</t>
        </is>
      </c>
      <c r="L62" s="14" t="inlineStr">
        <is>
          <t>Pass</t>
        </is>
      </c>
      <c r="M62" s="19" t="inlineStr">
        <is>
          <t>Not run</t>
        </is>
      </c>
      <c r="N62" s="19" t="inlineStr"/>
      <c r="O62" s="19" t="inlineStr"/>
      <c r="P62" s="20" t="inlineStr"/>
      <c r="Q62" s="19" t="inlineStr"/>
      <c r="R62" s="14" t="inlineStr">
        <is>
          <t>21 Oct 2026</t>
        </is>
      </c>
      <c r="S62" s="14" t="inlineStr">
        <is>
          <t>21 Oct 2026</t>
        </is>
      </c>
    </row>
    <row r="63">
      <c r="A63" s="16" t="inlineStr">
        <is>
          <t>TC-SEC-01</t>
        </is>
      </c>
      <c r="B63" s="14" t="inlineStr">
        <is>
          <t>Security &amp; privacy</t>
        </is>
      </c>
      <c r="C63" s="18" t="inlineStr">
        <is>
          <t>Employees see only their own requests</t>
        </is>
      </c>
      <c r="D63" s="14" t="inlineStr">
        <is>
          <t>Employee</t>
        </is>
      </c>
      <c r="E63" s="18" t="inlineStr">
        <is>
          <t>Two employees each sent a request.</t>
        </is>
      </c>
      <c r="F63" s="18" t="inlineStr">
        <is>
          <t>Employee 1 opens each request list.</t>
        </is>
      </c>
      <c r="G63" s="18" t="inlineStr">
        <is>
          <t>—</t>
        </is>
      </c>
      <c r="H63" s="18" t="inlineStr">
        <is>
          <t>Only their own requests appear.</t>
        </is>
      </c>
      <c r="I63" s="14" t="inlineStr">
        <is>
          <t>Critical</t>
        </is>
      </c>
      <c r="J63" s="14" t="inlineStr">
        <is>
          <t>Security</t>
        </is>
      </c>
      <c r="K63" s="14" t="inlineStr">
        <is>
          <t>SEC-01</t>
        </is>
      </c>
      <c r="L63" s="14" t="inlineStr">
        <is>
          <t>Pass</t>
        </is>
      </c>
      <c r="M63" s="19" t="inlineStr">
        <is>
          <t>Not run</t>
        </is>
      </c>
      <c r="N63" s="19" t="inlineStr"/>
      <c r="O63" s="19" t="inlineStr"/>
      <c r="P63" s="20" t="inlineStr"/>
      <c r="Q63" s="19" t="inlineStr"/>
      <c r="R63" s="14" t="inlineStr">
        <is>
          <t>21 Oct 2026</t>
        </is>
      </c>
      <c r="S63" s="14" t="inlineStr">
        <is>
          <t>21 Oct 2026</t>
        </is>
      </c>
    </row>
    <row r="64">
      <c r="A64" s="16" t="inlineStr">
        <is>
          <t>TC-SEC-02</t>
        </is>
      </c>
      <c r="B64" s="14" t="inlineStr">
        <is>
          <t>Security &amp; privacy</t>
        </is>
      </c>
      <c r="C64" s="18" t="inlineStr">
        <is>
          <t>Another employee's request URL</t>
        </is>
      </c>
      <c r="D64" s="14" t="inlineStr">
        <is>
          <t>Employee</t>
        </is>
      </c>
      <c r="E64" s="18" t="inlineStr">
        <is>
          <t>URL of employee 2's request.</t>
        </is>
      </c>
      <c r="F64" s="18" t="inlineStr">
        <is>
          <t>Employee 1 opens that URL.</t>
        </is>
      </c>
      <c r="G64" s="18" t="inlineStr">
        <is>
          <t>Employee 2 request link</t>
        </is>
      </c>
      <c r="H64" s="18" t="inlineStr">
        <is>
          <t>Not permitted; none of its details are shown.</t>
        </is>
      </c>
      <c r="I64" s="14" t="inlineStr">
        <is>
          <t>Critical</t>
        </is>
      </c>
      <c r="J64" s="14" t="inlineStr">
        <is>
          <t>Security</t>
        </is>
      </c>
      <c r="K64" s="14" t="inlineStr">
        <is>
          <t>SEC-02</t>
        </is>
      </c>
      <c r="L64" s="14" t="inlineStr">
        <is>
          <t>Pass</t>
        </is>
      </c>
      <c r="M64" s="19" t="inlineStr">
        <is>
          <t>Not run</t>
        </is>
      </c>
      <c r="N64" s="19" t="inlineStr"/>
      <c r="O64" s="19" t="inlineStr"/>
      <c r="P64" s="20" t="inlineStr"/>
      <c r="Q64" s="19" t="inlineStr"/>
      <c r="R64" s="14" t="inlineStr">
        <is>
          <t>21 Oct 2026</t>
        </is>
      </c>
      <c r="S64" s="14" t="inlineStr">
        <is>
          <t>21 Oct 2026</t>
        </is>
      </c>
    </row>
    <row r="65">
      <c r="A65" s="16" t="inlineStr">
        <is>
          <t>TC-SEC-03</t>
        </is>
      </c>
      <c r="B65" s="14" t="inlineStr">
        <is>
          <t>Security &amp; privacy</t>
        </is>
      </c>
      <c r="C65" s="18" t="inlineStr">
        <is>
          <t>Own Employee record only, read-only</t>
        </is>
      </c>
      <c r="D65" s="14" t="inlineStr">
        <is>
          <t>Employee</t>
        </is>
      </c>
      <c r="E65" s="18" t="inlineStr">
        <is>
          <t>—</t>
        </is>
      </c>
      <c r="F65" s="18" t="inlineStr">
        <is>
          <t>1. Open /app/employee.
2. Try to edit own record.</t>
        </is>
      </c>
      <c r="G65" s="18" t="inlineStr">
        <is>
          <t>—</t>
        </is>
      </c>
      <c r="H65" s="18" t="inlineStr">
        <is>
          <t>Only own record listed; cannot edit.</t>
        </is>
      </c>
      <c r="I65" s="14" t="inlineStr">
        <is>
          <t>High</t>
        </is>
      </c>
      <c r="J65" s="14" t="inlineStr">
        <is>
          <t>Security</t>
        </is>
      </c>
      <c r="K65" s="14" t="inlineStr">
        <is>
          <t>SEC-03/04</t>
        </is>
      </c>
      <c r="L65" s="14" t="inlineStr">
        <is>
          <t>Pass</t>
        </is>
      </c>
      <c r="M65" s="19" t="inlineStr">
        <is>
          <t>Not run</t>
        </is>
      </c>
      <c r="N65" s="19" t="inlineStr"/>
      <c r="O65" s="19" t="inlineStr"/>
      <c r="P65" s="20" t="inlineStr"/>
      <c r="Q65" s="19" t="inlineStr"/>
      <c r="R65" s="14" t="inlineStr">
        <is>
          <t>21 Oct 2026</t>
        </is>
      </c>
      <c r="S65" s="14" t="inlineStr">
        <is>
          <t>21 Oct 2026</t>
        </is>
      </c>
    </row>
    <row r="66">
      <c r="A66" s="16" t="inlineStr">
        <is>
          <t>TC-SEC-04</t>
        </is>
      </c>
      <c r="B66" s="14" t="inlineStr">
        <is>
          <t>Security &amp; privacy</t>
        </is>
      </c>
      <c r="C66" s="18" t="inlineStr">
        <is>
          <t>HR-only processes</t>
        </is>
      </c>
      <c r="D66" s="14" t="inlineStr">
        <is>
          <t>Employee</t>
        </is>
      </c>
      <c r="E66" s="18" t="inlineStr">
        <is>
          <t>—</t>
        </is>
      </c>
      <c r="F66" s="18" t="inlineStr">
        <is>
          <t>1. Try to create a Contract Renewal request.
2. Send a Leave Plan, then try to set its status to Approved (or ask a developer to try through the API).</t>
        </is>
      </c>
      <c r="G66" s="18" t="inlineStr">
        <is>
          <t>—</t>
        </is>
      </c>
      <c r="H66" s="18" t="inlineStr">
        <is>
          <t>Contract Renewal refused ('managed by HR'); the Leave Plan is sent but the employee cannot approve it.</t>
        </is>
      </c>
      <c r="I66" s="14" t="inlineStr">
        <is>
          <t>High</t>
        </is>
      </c>
      <c r="J66" s="14" t="inlineStr">
        <is>
          <t>Security</t>
        </is>
      </c>
      <c r="K66" s="14" t="inlineStr">
        <is>
          <t>SEC-07</t>
        </is>
      </c>
      <c r="L66" s="14" t="inlineStr">
        <is>
          <t>Pass</t>
        </is>
      </c>
      <c r="M66" s="19" t="inlineStr">
        <is>
          <t>Not run</t>
        </is>
      </c>
      <c r="N66" s="19" t="inlineStr"/>
      <c r="O66" s="19" t="inlineStr"/>
      <c r="P66" s="20" t="inlineStr"/>
      <c r="Q66" s="19" t="inlineStr"/>
      <c r="R66" s="14" t="inlineStr">
        <is>
          <t>21 Oct 2026</t>
        </is>
      </c>
      <c r="S66" s="14" t="inlineStr">
        <is>
          <t>22 Oct 2026</t>
        </is>
      </c>
    </row>
    <row r="67">
      <c r="A67" s="16" t="inlineStr">
        <is>
          <t>TC-SEC-05</t>
        </is>
      </c>
      <c r="B67" s="14" t="inlineStr">
        <is>
          <t>Security &amp; privacy</t>
        </is>
      </c>
      <c r="C67" s="18" t="inlineStr">
        <is>
          <t>Employee cannot open HR pages</t>
        </is>
      </c>
      <c r="D67" s="14" t="inlineStr">
        <is>
          <t>Employee</t>
        </is>
      </c>
      <c r="E67" s="18" t="inlineStr">
        <is>
          <t>—</t>
        </is>
      </c>
      <c r="F67" s="18" t="inlineStr">
        <is>
          <t>Open /app/hr-dashboard, /app/hr-academic-presence/faculty and /app/jameah-data-check.</t>
        </is>
      </c>
      <c r="G67" s="18" t="inlineStr">
        <is>
          <t>—</t>
        </is>
      </c>
      <c r="H67" s="18" t="inlineStr">
        <is>
          <t>'Not authorized' or 'Not permitted'; no HR data.</t>
        </is>
      </c>
      <c r="I67" s="14" t="inlineStr">
        <is>
          <t>Critical</t>
        </is>
      </c>
      <c r="J67" s="14" t="inlineStr">
        <is>
          <t>Security</t>
        </is>
      </c>
      <c r="K67" s="14" t="inlineStr">
        <is>
          <t>SEC-09</t>
        </is>
      </c>
      <c r="L67" s="14" t="inlineStr">
        <is>
          <t>Pass</t>
        </is>
      </c>
      <c r="M67" s="19" t="inlineStr">
        <is>
          <t>Not run</t>
        </is>
      </c>
      <c r="N67" s="19" t="inlineStr"/>
      <c r="O67" s="19" t="inlineStr"/>
      <c r="P67" s="20" t="inlineStr"/>
      <c r="Q67" s="19" t="inlineStr"/>
      <c r="R67" s="14" t="inlineStr">
        <is>
          <t>21 Oct 2026</t>
        </is>
      </c>
      <c r="S67" s="14" t="inlineStr">
        <is>
          <t>21 Oct 2026</t>
        </is>
      </c>
    </row>
    <row r="68">
      <c r="A68" s="16" t="inlineStr">
        <is>
          <t>TC-SEC-06</t>
        </is>
      </c>
      <c r="B68" s="14" t="inlineStr">
        <is>
          <t>Security &amp; privacy</t>
        </is>
      </c>
      <c r="C68" s="18" t="inlineStr">
        <is>
          <t>Login without an Employee record</t>
        </is>
      </c>
      <c r="D68" s="14" t="inlineStr">
        <is>
          <t>User with no Employee record</t>
        </is>
      </c>
      <c r="E68" s="18" t="inlineStr">
        <is>
          <t>—</t>
        </is>
      </c>
      <c r="F68" s="18" t="inlineStr">
        <is>
          <t>Log in and open the Employee Dashboard.</t>
        </is>
      </c>
      <c r="G68" s="18" t="inlineStr">
        <is>
          <t>—</t>
        </is>
      </c>
      <c r="H68" s="18" t="inlineStr">
        <is>
          <t>Not permitted / not linked message; cannot send requests.</t>
        </is>
      </c>
      <c r="I68" s="14" t="inlineStr">
        <is>
          <t>Medium</t>
        </is>
      </c>
      <c r="J68" s="14" t="inlineStr">
        <is>
          <t>Security</t>
        </is>
      </c>
      <c r="K68" s="14" t="inlineStr">
        <is>
          <t>SEC-11</t>
        </is>
      </c>
      <c r="L68" s="14" t="inlineStr">
        <is>
          <t>Pass</t>
        </is>
      </c>
      <c r="M68" s="19" t="inlineStr">
        <is>
          <t>Not run</t>
        </is>
      </c>
      <c r="N68" s="19" t="inlineStr"/>
      <c r="O68" s="19" t="inlineStr"/>
      <c r="P68" s="20" t="inlineStr"/>
      <c r="Q68" s="19" t="inlineStr"/>
      <c r="R68" s="14" t="inlineStr">
        <is>
          <t>21 Oct 2026</t>
        </is>
      </c>
      <c r="S68" s="14" t="inlineStr">
        <is>
          <t>21 Oct 2026</t>
        </is>
      </c>
    </row>
    <row r="69">
      <c r="A69" s="16" t="inlineStr">
        <is>
          <t>TC-SEC-07</t>
        </is>
      </c>
      <c r="B69" s="14" t="inlineStr">
        <is>
          <t>Security &amp; privacy</t>
        </is>
      </c>
      <c r="C69" s="18" t="inlineStr">
        <is>
          <t>Staff without HR/Employee roles</t>
        </is>
      </c>
      <c r="D69" s="14" t="inlineStr">
        <is>
          <t>Other staff</t>
        </is>
      </c>
      <c r="E69" s="18" t="inlineStr">
        <is>
          <t>—</t>
        </is>
      </c>
      <c r="F69" s="18" t="inlineStr">
        <is>
          <t>Open the HR and Employee dashboards.</t>
        </is>
      </c>
      <c r="G69" s="18" t="inlineStr">
        <is>
          <t>—</t>
        </is>
      </c>
      <c r="H69" s="18" t="inlineStr">
        <is>
          <t>Both refused.</t>
        </is>
      </c>
      <c r="I69" s="14" t="inlineStr">
        <is>
          <t>Medium</t>
        </is>
      </c>
      <c r="J69" s="14" t="inlineStr">
        <is>
          <t>Security</t>
        </is>
      </c>
      <c r="K69" s="14" t="inlineStr">
        <is>
          <t>SEC-12</t>
        </is>
      </c>
      <c r="L69" s="14" t="inlineStr">
        <is>
          <t>Pass</t>
        </is>
      </c>
      <c r="M69" s="19" t="inlineStr">
        <is>
          <t>Not run</t>
        </is>
      </c>
      <c r="N69" s="19" t="inlineStr"/>
      <c r="O69" s="19" t="inlineStr"/>
      <c r="P69" s="20" t="inlineStr"/>
      <c r="Q69" s="19" t="inlineStr"/>
      <c r="R69" s="14" t="inlineStr">
        <is>
          <t>21 Oct 2026</t>
        </is>
      </c>
      <c r="S69" s="14" t="inlineStr">
        <is>
          <t>21 Oct 2026</t>
        </is>
      </c>
    </row>
    <row r="70">
      <c r="A70" s="16" t="inlineStr">
        <is>
          <t>TC-SEC-08</t>
        </is>
      </c>
      <c r="B70" s="14" t="inlineStr">
        <is>
          <t>Security &amp; privacy</t>
        </is>
      </c>
      <c r="C70" s="18" t="inlineStr">
        <is>
          <t>Private attachments</t>
        </is>
      </c>
      <c r="D70" s="14" t="inlineStr">
        <is>
          <t>Second employee</t>
        </is>
      </c>
      <c r="E70" s="18" t="inlineStr">
        <is>
          <t>Employee 1 uploaded an invoice (TC-ESS-08).</t>
        </is>
      </c>
      <c r="F70" s="18" t="inlineStr">
        <is>
          <t>Employee 2 opens the file link.</t>
        </is>
      </c>
      <c r="G70" s="18" t="inlineStr">
        <is>
          <t>File URL</t>
        </is>
      </c>
      <c r="H70" s="18" t="inlineStr">
        <is>
          <t>Refused (403/404). HR can open it.</t>
        </is>
      </c>
      <c r="I70" s="14" t="inlineStr">
        <is>
          <t>Critical</t>
        </is>
      </c>
      <c r="J70" s="14" t="inlineStr">
        <is>
          <t>Security</t>
        </is>
      </c>
      <c r="K70" s="14" t="inlineStr">
        <is>
          <t>APR-08</t>
        </is>
      </c>
      <c r="L70" s="14" t="inlineStr">
        <is>
          <t>Pass</t>
        </is>
      </c>
      <c r="M70" s="19" t="inlineStr">
        <is>
          <t>Not run</t>
        </is>
      </c>
      <c r="N70" s="19" t="inlineStr"/>
      <c r="O70" s="19" t="inlineStr"/>
      <c r="P70" s="20" t="inlineStr"/>
      <c r="Q70" s="19" t="inlineStr"/>
      <c r="R70" s="14" t="inlineStr">
        <is>
          <t>21 Oct 2026</t>
        </is>
      </c>
      <c r="S70" s="14" t="inlineStr">
        <is>
          <t>21 Oct 2026</t>
        </is>
      </c>
    </row>
    <row r="71">
      <c r="A71" s="16" t="inlineStr">
        <is>
          <t>TC-SEC-09</t>
        </is>
      </c>
      <c r="B71" s="14" t="inlineStr">
        <is>
          <t>Security &amp; privacy</t>
        </is>
      </c>
      <c r="C71" s="18" t="inlineStr">
        <is>
          <t>Job application cannot grant admin rights</t>
        </is>
      </c>
      <c r="D71" s="14" t="inlineStr">
        <is>
          <t>HR Manager</t>
        </is>
      </c>
      <c r="E71" s="18" t="inlineStr">
        <is>
          <t>—</t>
        </is>
      </c>
      <c r="F71" s="18" t="inlineStr">
        <is>
          <t>Create a Job Application Link and look at the Role list.</t>
        </is>
      </c>
      <c r="G71" s="18" t="inlineStr">
        <is>
          <t>—</t>
        </is>
      </c>
      <c r="H71" s="18" t="inlineStr">
        <is>
          <t>Only hireable roles are offered (Employee, Instructor, Academic Advisor...), never System Manager or HR roles.</t>
        </is>
      </c>
      <c r="I71" s="14" t="inlineStr">
        <is>
          <t>Critical</t>
        </is>
      </c>
      <c r="J71" s="14" t="inlineStr">
        <is>
          <t>Security</t>
        </is>
      </c>
      <c r="K71" s="14" t="inlineStr">
        <is>
          <t>REC-02</t>
        </is>
      </c>
      <c r="L71" s="14" t="inlineStr">
        <is>
          <t>Pass</t>
        </is>
      </c>
      <c r="M71" s="19" t="inlineStr">
        <is>
          <t>Not run</t>
        </is>
      </c>
      <c r="N71" s="19" t="inlineStr"/>
      <c r="O71" s="19" t="inlineStr"/>
      <c r="P71" s="20" t="inlineStr"/>
      <c r="Q71" s="19" t="inlineStr"/>
      <c r="R71" s="14" t="inlineStr">
        <is>
          <t>21 Oct 2026</t>
        </is>
      </c>
      <c r="S71" s="14" t="inlineStr">
        <is>
          <t>21 Oct 2026</t>
        </is>
      </c>
    </row>
    <row r="72">
      <c r="A72" s="16" t="inlineStr">
        <is>
          <t>TC-SEC-10</t>
        </is>
      </c>
      <c r="B72" s="14" t="inlineStr">
        <is>
          <t>Security &amp; privacy</t>
        </is>
      </c>
      <c r="C72" s="18" t="inlineStr">
        <is>
          <t>Server methods refuse the wrong role</t>
        </is>
      </c>
      <c r="D72" s="14" t="inlineStr">
        <is>
          <t>Developer</t>
        </is>
      </c>
      <c r="E72" s="18" t="inlineStr">
        <is>
          <t>QA logins loaded (qa_fixtures.py), bench running.</t>
        </is>
      </c>
      <c r="F72" s="18" t="inlineStr">
        <is>
          <t>python3 tests/checks/api_methods.py</t>
        </is>
      </c>
      <c r="G72" s="18" t="inlineStr">
        <is>
          <t>—</t>
        </is>
      </c>
      <c r="H72" s="18" t="inlineStr">
        <is>
          <t>Every method: refused (403) for a visitor except the job form and receipt; HR-only methods refused for employees; no server error (500); no method left out of the check.</t>
        </is>
      </c>
      <c r="I72" s="14" t="inlineStr">
        <is>
          <t>Critical</t>
        </is>
      </c>
      <c r="J72" s="14" t="inlineStr">
        <is>
          <t>Security</t>
        </is>
      </c>
      <c r="K72" s="14" t="inlineStr">
        <is>
          <t>tests/checks/api_methods.py</t>
        </is>
      </c>
      <c r="L72" s="14" t="inlineStr">
        <is>
          <t>Pass</t>
        </is>
      </c>
      <c r="M72" s="19" t="inlineStr">
        <is>
          <t>Not run</t>
        </is>
      </c>
      <c r="N72" s="19" t="inlineStr"/>
      <c r="O72" s="19" t="inlineStr"/>
      <c r="P72" s="20" t="inlineStr"/>
      <c r="Q72" s="19" t="inlineStr"/>
      <c r="R72" s="14" t="inlineStr">
        <is>
          <t>23 Oct 2026</t>
        </is>
      </c>
      <c r="S72" s="14" t="inlineStr">
        <is>
          <t>23 Oct 2026</t>
        </is>
      </c>
    </row>
    <row r="73">
      <c r="A73" s="16" t="inlineStr">
        <is>
          <t>TC-EMP-01</t>
        </is>
      </c>
      <c r="B73" s="14" t="inlineStr">
        <is>
          <t>Employee master &amp; Ministry fields</t>
        </is>
      </c>
      <c r="C73" s="18" t="inlineStr">
        <is>
          <t>Edit and save an employee who has a login</t>
        </is>
      </c>
      <c r="D73" s="14" t="inlineStr">
        <is>
          <t>HR Manager</t>
        </is>
      </c>
      <c r="E73" s="18" t="inlineStr">
        <is>
          <t>Employee with a user login.</t>
        </is>
      </c>
      <c r="F73" s="18" t="inlineStr">
        <is>
          <t>Change the mobile number; Save.</t>
        </is>
      </c>
      <c r="G73" s="18" t="inlineStr">
        <is>
          <t>New mobile</t>
        </is>
      </c>
      <c r="H73" s="18" t="inlineStr">
        <is>
          <t>Saved with no error (this used to fail with 'Could not find Gender').</t>
        </is>
      </c>
      <c r="I73" s="14" t="inlineStr">
        <is>
          <t>Critical</t>
        </is>
      </c>
      <c r="J73" s="14" t="inlineStr">
        <is>
          <t>Regression</t>
        </is>
      </c>
      <c r="K73" s="14" t="inlineStr">
        <is>
          <t>EMP-01</t>
        </is>
      </c>
      <c r="L73" s="14" t="inlineStr">
        <is>
          <t>Pass</t>
        </is>
      </c>
      <c r="M73" s="19" t="inlineStr">
        <is>
          <t>Not run</t>
        </is>
      </c>
      <c r="N73" s="19" t="inlineStr"/>
      <c r="O73" s="19" t="inlineStr"/>
      <c r="P73" s="20" t="inlineStr"/>
      <c r="Q73" s="19" t="inlineStr"/>
      <c r="R73" s="14" t="inlineStr">
        <is>
          <t>21 Oct 2026</t>
        </is>
      </c>
      <c r="S73" s="14" t="inlineStr">
        <is>
          <t>21 Oct 2026</t>
        </is>
      </c>
    </row>
    <row r="74">
      <c r="A74" s="16" t="inlineStr">
        <is>
          <t>TC-EMP-02</t>
        </is>
      </c>
      <c r="B74" s="14" t="inlineStr">
        <is>
          <t>Employee master &amp; Ministry fields</t>
        </is>
      </c>
      <c r="C74" s="18" t="inlineStr">
        <is>
          <t>Lookup fields only offer their own list</t>
        </is>
      </c>
      <c r="D74" s="14" t="inlineStr">
        <is>
          <t>HR Manager</t>
        </is>
      </c>
      <c r="E74" s="18" t="inlineStr">
        <is>
          <t>Employee form open.</t>
        </is>
      </c>
      <c r="F74" s="18" t="inlineStr">
        <is>
          <t>Open Gender, Nationality, Identity Type and Religion drop-downs.</t>
        </is>
      </c>
      <c r="G74" s="18" t="inlineStr">
        <is>
          <t>—</t>
        </is>
      </c>
      <c r="H74" s="18" t="inlineStr">
        <is>
          <t>Each shows only its Ministry list (e.g. Gender: Male, Female).</t>
        </is>
      </c>
      <c r="I74" s="14" t="inlineStr">
        <is>
          <t>High</t>
        </is>
      </c>
      <c r="J74" s="14" t="inlineStr">
        <is>
          <t>Functional</t>
        </is>
      </c>
      <c r="K74" s="14" t="inlineStr">
        <is>
          <t>EMP-02/03</t>
        </is>
      </c>
      <c r="L74" s="14" t="inlineStr">
        <is>
          <t>Pass</t>
        </is>
      </c>
      <c r="M74" s="19" t="inlineStr">
        <is>
          <t>Not run</t>
        </is>
      </c>
      <c r="N74" s="19" t="inlineStr"/>
      <c r="O74" s="19" t="inlineStr"/>
      <c r="P74" s="20" t="inlineStr"/>
      <c r="Q74" s="19" t="inlineStr"/>
      <c r="R74" s="14" t="inlineStr">
        <is>
          <t>21 Oct 2026</t>
        </is>
      </c>
      <c r="S74" s="14" t="inlineStr">
        <is>
          <t>21 Oct 2026</t>
        </is>
      </c>
    </row>
    <row r="75">
      <c r="A75" s="16" t="inlineStr">
        <is>
          <t>TC-EMP-03</t>
        </is>
      </c>
      <c r="B75" s="14" t="inlineStr">
        <is>
          <t>Employee master &amp; Ministry fields</t>
        </is>
      </c>
      <c r="C75" s="18" t="inlineStr">
        <is>
          <t>Invalid national ID</t>
        </is>
      </c>
      <c r="D75" s="14" t="inlineStr">
        <is>
          <t>HR Manager</t>
        </is>
      </c>
      <c r="E75" s="18" t="inlineStr">
        <is>
          <t>—</t>
        </is>
      </c>
      <c r="F75" s="18" t="inlineStr">
        <is>
          <t>Set Identity Number to 12345 and Save.</t>
        </is>
      </c>
      <c r="G75" s="18" t="inlineStr">
        <is>
          <t>12345</t>
        </is>
      </c>
      <c r="H75" s="18" t="inlineStr">
        <is>
          <t>Refused: a National ID has exactly 10 digits.</t>
        </is>
      </c>
      <c r="I75" s="14" t="inlineStr">
        <is>
          <t>High</t>
        </is>
      </c>
      <c r="J75" s="14" t="inlineStr">
        <is>
          <t>Negative</t>
        </is>
      </c>
      <c r="K75" s="14" t="inlineStr">
        <is>
          <t>EMP-05</t>
        </is>
      </c>
      <c r="L75" s="14" t="inlineStr">
        <is>
          <t>Pass</t>
        </is>
      </c>
      <c r="M75" s="19" t="inlineStr">
        <is>
          <t>Not run</t>
        </is>
      </c>
      <c r="N75" s="19" t="inlineStr"/>
      <c r="O75" s="19" t="inlineStr"/>
      <c r="P75" s="20" t="inlineStr"/>
      <c r="Q75" s="19" t="inlineStr"/>
      <c r="R75" s="14" t="inlineStr">
        <is>
          <t>21 Oct 2026</t>
        </is>
      </c>
      <c r="S75" s="14" t="inlineStr">
        <is>
          <t>21 Oct 2026</t>
        </is>
      </c>
    </row>
    <row r="76">
      <c r="A76" s="16" t="inlineStr">
        <is>
          <t>TC-EMP-04</t>
        </is>
      </c>
      <c r="B76" s="14" t="inlineStr">
        <is>
          <t>Employee master &amp; Ministry fields</t>
        </is>
      </c>
      <c r="C76" s="18" t="inlineStr">
        <is>
          <t>Duplicate identity number</t>
        </is>
      </c>
      <c r="D76" s="14" t="inlineStr">
        <is>
          <t>HR Manager</t>
        </is>
      </c>
      <c r="E76" s="18" t="inlineStr">
        <is>
          <t>Another employee's ID number.</t>
        </is>
      </c>
      <c r="F76" s="18" t="inlineStr">
        <is>
          <t>Enter it on a different employee; Save.</t>
        </is>
      </c>
      <c r="G76" s="18" t="inlineStr">
        <is>
          <t>Existing ID</t>
        </is>
      </c>
      <c r="H76" s="18" t="inlineStr">
        <is>
          <t>Refused: already registered to &lt;employee&gt;.</t>
        </is>
      </c>
      <c r="I76" s="14" t="inlineStr">
        <is>
          <t>High</t>
        </is>
      </c>
      <c r="J76" s="14" t="inlineStr">
        <is>
          <t>Negative</t>
        </is>
      </c>
      <c r="K76" s="14" t="inlineStr">
        <is>
          <t>EMP-06</t>
        </is>
      </c>
      <c r="L76" s="14" t="inlineStr">
        <is>
          <t>Pass</t>
        </is>
      </c>
      <c r="M76" s="19" t="inlineStr">
        <is>
          <t>Not run</t>
        </is>
      </c>
      <c r="N76" s="19" t="inlineStr"/>
      <c r="O76" s="19" t="inlineStr"/>
      <c r="P76" s="20" t="inlineStr"/>
      <c r="Q76" s="19" t="inlineStr"/>
      <c r="R76" s="14" t="inlineStr">
        <is>
          <t>21 Oct 2026</t>
        </is>
      </c>
      <c r="S76" s="14" t="inlineStr">
        <is>
          <t>21 Oct 2026</t>
        </is>
      </c>
    </row>
    <row r="77">
      <c r="A77" s="16" t="inlineStr">
        <is>
          <t>TC-EMP-05</t>
        </is>
      </c>
      <c r="B77" s="14" t="inlineStr">
        <is>
          <t>Employee master &amp; Ministry fields</t>
        </is>
      </c>
      <c r="C77" s="18" t="inlineStr">
        <is>
          <t>National ID for a non-Saudi</t>
        </is>
      </c>
      <c r="D77" s="14" t="inlineStr">
        <is>
          <t>HR Manager</t>
        </is>
      </c>
      <c r="E77" s="18" t="inlineStr">
        <is>
          <t>—</t>
        </is>
      </c>
      <c r="F77" s="18" t="inlineStr">
        <is>
          <t>Nationality not Saudi, Identity Type National ID; Save.</t>
        </is>
      </c>
      <c r="G77" s="18" t="inlineStr">
        <is>
          <t>—</t>
        </is>
      </c>
      <c r="H77" s="18" t="inlineStr">
        <is>
          <t>Refused: National ID is only for Saudis.</t>
        </is>
      </c>
      <c r="I77" s="14" t="inlineStr">
        <is>
          <t>Medium</t>
        </is>
      </c>
      <c r="J77" s="14" t="inlineStr">
        <is>
          <t>Negative</t>
        </is>
      </c>
      <c r="K77" s="14" t="inlineStr">
        <is>
          <t>unit/manual</t>
        </is>
      </c>
      <c r="L77" s="14" t="inlineStr">
        <is>
          <t>Unit test</t>
        </is>
      </c>
      <c r="M77" s="19" t="inlineStr">
        <is>
          <t>Not run</t>
        </is>
      </c>
      <c r="N77" s="19" t="inlineStr"/>
      <c r="O77" s="19" t="inlineStr"/>
      <c r="P77" s="20" t="inlineStr"/>
      <c r="Q77" s="19" t="inlineStr"/>
      <c r="R77" s="14" t="inlineStr">
        <is>
          <t>21 Oct 2026</t>
        </is>
      </c>
      <c r="S77" s="14" t="inlineStr">
        <is>
          <t>21 Oct 2026</t>
        </is>
      </c>
    </row>
    <row r="78">
      <c r="A78" s="16" t="inlineStr">
        <is>
          <t>TC-EMP-09</t>
        </is>
      </c>
      <c r="B78" s="14" t="inlineStr">
        <is>
          <t>Employee master &amp; Ministry fields</t>
        </is>
      </c>
      <c r="C78" s="18" t="inlineStr">
        <is>
          <t>Non-Saudi employee with an Iqama</t>
        </is>
      </c>
      <c r="D78" s="14" t="inlineStr">
        <is>
          <t>HR Manager</t>
        </is>
      </c>
      <c r="E78" s="18" t="inlineStr">
        <is>
          <t>An employee whose Nationality is not Saudi and Identity Type is Iqama.</t>
        </is>
      </c>
      <c r="F78" s="18" t="inlineStr">
        <is>
          <t>1. Open the employee.
2. Look at Identity Number and ID Number in Country of Origin.
3. Change any field and Save.</t>
        </is>
      </c>
      <c r="G78" s="18" t="inlineStr">
        <is>
          <t>Iqama 2XXXXXXXXX</t>
        </is>
      </c>
      <c r="H78" s="18" t="inlineStr">
        <is>
          <t>The record opens without 'Not Saved'. Identity Number still shows the Iqama and is mandatory; the home-country ID is optional. Save works.</t>
        </is>
      </c>
      <c r="I78" s="14" t="inlineStr">
        <is>
          <t>Critical</t>
        </is>
      </c>
      <c r="J78" s="14" t="inlineStr">
        <is>
          <t>Regression</t>
        </is>
      </c>
      <c r="K78" s="14" t="inlineStr">
        <is>
          <t>EMP-08</t>
        </is>
      </c>
      <c r="L78" s="14" t="inlineStr">
        <is>
          <t>Pass</t>
        </is>
      </c>
      <c r="M78" s="19" t="inlineStr">
        <is>
          <t>Not run</t>
        </is>
      </c>
      <c r="N78" s="19" t="inlineStr"/>
      <c r="O78" s="19" t="inlineStr"/>
      <c r="P78" s="20" t="inlineStr"/>
      <c r="Q78" s="19" t="inlineStr"/>
      <c r="R78" s="14" t="inlineStr">
        <is>
          <t>21 Oct 2026</t>
        </is>
      </c>
      <c r="S78" s="14" t="inlineStr">
        <is>
          <t>21 Oct 2026</t>
        </is>
      </c>
    </row>
    <row r="79">
      <c r="A79" s="16" t="inlineStr">
        <is>
          <t>TC-EMP-06</t>
        </is>
      </c>
      <c r="B79" s="14" t="inlineStr">
        <is>
          <t>Employee master &amp; Ministry fields</t>
        </is>
      </c>
      <c r="C79" s="18" t="inlineStr">
        <is>
          <t>Qualification 'Appreciation' list</t>
        </is>
      </c>
      <c r="D79" s="14" t="inlineStr">
        <is>
          <t>HR Manager</t>
        </is>
      </c>
      <c r="E79" s="18" t="inlineStr">
        <is>
          <t>—</t>
        </is>
      </c>
      <c r="F79" s="18" t="inlineStr">
        <is>
          <t>Add a qualification row; open Appreciation.</t>
        </is>
      </c>
      <c r="G79" s="18" t="inlineStr">
        <is>
          <t>—</t>
        </is>
      </c>
      <c r="H79" s="18" t="inlineStr">
        <is>
          <t>Grades are offered (Excellent, Very good, Good...), not GPA systems.</t>
        </is>
      </c>
      <c r="I79" s="14" t="inlineStr">
        <is>
          <t>High</t>
        </is>
      </c>
      <c r="J79" s="14" t="inlineStr">
        <is>
          <t>Regression</t>
        </is>
      </c>
      <c r="K79" s="14" t="inlineStr">
        <is>
          <t>REC-05</t>
        </is>
      </c>
      <c r="L79" s="14" t="inlineStr">
        <is>
          <t>Pass</t>
        </is>
      </c>
      <c r="M79" s="19" t="inlineStr">
        <is>
          <t>Not run</t>
        </is>
      </c>
      <c r="N79" s="19" t="inlineStr"/>
      <c r="O79" s="19" t="inlineStr"/>
      <c r="P79" s="20" t="inlineStr"/>
      <c r="Q79" s="19" t="inlineStr"/>
      <c r="R79" s="14" t="inlineStr">
        <is>
          <t>21 Oct 2026</t>
        </is>
      </c>
      <c r="S79" s="14" t="inlineStr">
        <is>
          <t>21 Oct 2026</t>
        </is>
      </c>
    </row>
    <row r="80">
      <c r="A80" s="16" t="inlineStr">
        <is>
          <t>TC-EMP-07</t>
        </is>
      </c>
      <c r="B80" s="14" t="inlineStr">
        <is>
          <t>Employee master &amp; Ministry fields</t>
        </is>
      </c>
      <c r="C80" s="18" t="inlineStr">
        <is>
          <t>Ministry (Jameah) Data preview</t>
        </is>
      </c>
      <c r="D80" s="14" t="inlineStr">
        <is>
          <t>HR Manager</t>
        </is>
      </c>
      <c r="E80" s="18" t="inlineStr">
        <is>
          <t>An employee of Al Riyada College.</t>
        </is>
      </c>
      <c r="F80" s="18" t="inlineStr">
        <is>
          <t>Employee form -&gt; View -&gt; Ministry (Jameah) Data.</t>
        </is>
      </c>
      <c r="G80" s="18" t="inlineStr">
        <is>
          <t>—</t>
        </is>
      </c>
      <c r="H80" s="18" t="inlineStr">
        <is>
          <t>Pop-up with the 5 Ministry sections; lookup columns show codes (e.g. Nationality 101).</t>
        </is>
      </c>
      <c r="I80" s="14" t="inlineStr">
        <is>
          <t>Medium</t>
        </is>
      </c>
      <c r="J80" s="14" t="inlineStr">
        <is>
          <t>Functional</t>
        </is>
      </c>
      <c r="K80" s="14" t="inlineStr">
        <is>
          <t>EMP-07</t>
        </is>
      </c>
      <c r="L80" s="14" t="inlineStr">
        <is>
          <t>Pass</t>
        </is>
      </c>
      <c r="M80" s="19" t="inlineStr">
        <is>
          <t>Not run</t>
        </is>
      </c>
      <c r="N80" s="19" t="inlineStr"/>
      <c r="O80" s="19" t="inlineStr"/>
      <c r="P80" s="20" t="inlineStr"/>
      <c r="Q80" s="19" t="inlineStr"/>
      <c r="R80" s="14" t="inlineStr">
        <is>
          <t>21 Oct 2026</t>
        </is>
      </c>
      <c r="S80" s="14" t="inlineStr">
        <is>
          <t>21 Oct 2026</t>
        </is>
      </c>
    </row>
    <row r="81">
      <c r="A81" s="16" t="inlineStr">
        <is>
          <t>TC-EMP-08</t>
        </is>
      </c>
      <c r="B81" s="14" t="inlineStr">
        <is>
          <t>Employee master &amp; Ministry fields</t>
        </is>
      </c>
      <c r="C81" s="18" t="inlineStr">
        <is>
          <t>Teaching staff are not sent as Employees</t>
        </is>
      </c>
      <c r="D81" s="14" t="inlineStr">
        <is>
          <t>HR Manager</t>
        </is>
      </c>
      <c r="E81" s="18" t="inlineStr">
        <is>
          <t>An employee linked to an Instructor.</t>
        </is>
      </c>
      <c r="F81" s="18" t="inlineStr">
        <is>
          <t>Open the Ministry (Jameah) Data preview.</t>
        </is>
      </c>
      <c r="G81" s="18" t="inlineStr">
        <is>
          <t>—</t>
        </is>
      </c>
      <c r="H81" s="18" t="inlineStr">
        <is>
          <t>Says the person is sent as Faculty, not as an Employee.</t>
        </is>
      </c>
      <c r="I81" s="14" t="inlineStr">
        <is>
          <t>Medium</t>
        </is>
      </c>
      <c r="J81" s="14" t="inlineStr">
        <is>
          <t>Functional</t>
        </is>
      </c>
      <c r="K81" s="14" t="inlineStr">
        <is>
          <t>REC-07</t>
        </is>
      </c>
      <c r="L81" s="14" t="inlineStr">
        <is>
          <t>Pass</t>
        </is>
      </c>
      <c r="M81" s="19" t="inlineStr">
        <is>
          <t>Not run</t>
        </is>
      </c>
      <c r="N81" s="19" t="inlineStr"/>
      <c r="O81" s="19" t="inlineStr"/>
      <c r="P81" s="20" t="inlineStr"/>
      <c r="Q81" s="19" t="inlineStr"/>
      <c r="R81" s="14" t="inlineStr">
        <is>
          <t>21 Oct 2026</t>
        </is>
      </c>
      <c r="S81" s="14" t="inlineStr">
        <is>
          <t>21 Oct 2026</t>
        </is>
      </c>
    </row>
    <row r="82">
      <c r="A82" s="16" t="inlineStr">
        <is>
          <t>TC-EMP-10</t>
        </is>
      </c>
      <c r="B82" s="14" t="inlineStr">
        <is>
          <t>Employee master &amp; Ministry fields</t>
        </is>
      </c>
      <c r="C82" s="18" t="inlineStr">
        <is>
          <t>Report: Employees Missing Ministry Data</t>
        </is>
      </c>
      <c r="D82" s="14" t="inlineStr">
        <is>
          <t>HR Manager</t>
        </is>
      </c>
      <c r="E82" s="18" t="inlineStr">
        <is>
          <t>Some employees with empty Ministry fields.</t>
        </is>
      </c>
      <c r="F82" s="18" t="inlineStr">
        <is>
          <t>1. HR Portal menu &gt; Ministry (Jameah) &gt; Employees Missing Ministry Data.
2. Tick 'Show complete employees too'.
3. Filter by a department.</t>
        </is>
      </c>
      <c r="G82" s="18" t="inlineStr">
        <is>
          <t>—</t>
        </is>
      </c>
      <c r="H82" s="18" t="inlineStr">
        <is>
          <t>Each employee with gaps is listed with the number of missing values and their names as on the Employee form (e.g. 'First Name (Arabic)', 'Academic Qualification (1 row): Academic qualification'). The tick also lists complete employees; the filter works.</t>
        </is>
      </c>
      <c r="I82" s="14" t="inlineStr">
        <is>
          <t>High</t>
        </is>
      </c>
      <c r="J82" s="14" t="inlineStr">
        <is>
          <t>Functional</t>
        </is>
      </c>
      <c r="K82" s="14" t="inlineStr">
        <is>
          <t>RPT-01</t>
        </is>
      </c>
      <c r="L82" s="14" t="inlineStr">
        <is>
          <t>Pass</t>
        </is>
      </c>
      <c r="M82" s="19" t="inlineStr">
        <is>
          <t>Not run</t>
        </is>
      </c>
      <c r="N82" s="19" t="inlineStr"/>
      <c r="O82" s="19" t="inlineStr"/>
      <c r="P82" s="20" t="inlineStr"/>
      <c r="Q82" s="19" t="inlineStr"/>
      <c r="R82" s="14" t="inlineStr">
        <is>
          <t>21 Oct 2026</t>
        </is>
      </c>
      <c r="S82" s="14" t="inlineStr">
        <is>
          <t>21 Oct 2026</t>
        </is>
      </c>
    </row>
    <row r="83">
      <c r="A83" s="16" t="inlineStr">
        <is>
          <t>TC-EMP-11</t>
        </is>
      </c>
      <c r="B83" s="14" t="inlineStr">
        <is>
          <t>Employee master &amp; Ministry fields</t>
        </is>
      </c>
      <c r="C83" s="18" t="inlineStr">
        <is>
          <t>Data sheet for non-academic staff: download, check, import</t>
        </is>
      </c>
      <c r="D83" s="14" t="inlineStr">
        <is>
          <t>HR Manager</t>
        </is>
      </c>
      <c r="E83" s="18" t="inlineStr">
        <is>
          <t>HR Manager account.</t>
        </is>
      </c>
      <c r="F83" s="18" t="inlineStr">
        <is>
          <t>1. In the report: Download Data Sheet.
2. Fill one red cell for an employee; type 31-31-2020 as another employee's date of birth.
3. Check / Import Data Sheet &gt; attach the file &gt; Check.
4. Fix the date and click Import.</t>
        </is>
      </c>
      <c r="G83" s="18" t="inlineStr">
        <is>
          <t>Edited .xlsx</t>
        </is>
      </c>
      <c r="H83" s="18" t="inlineStr">
        <is>
          <t>The sheet lists the non-teaching employees, red = Ministry-required and empty. Check reports the wrong date and saves nothing. Import updates only the changed cells; the result sheet gives each row's status.</t>
        </is>
      </c>
      <c r="I83" s="14" t="inlineStr">
        <is>
          <t>High</t>
        </is>
      </c>
      <c r="J83" s="14" t="inlineStr">
        <is>
          <t>Functional</t>
        </is>
      </c>
      <c r="K83" s="14" t="inlineStr">
        <is>
          <t>unit test</t>
        </is>
      </c>
      <c r="L83" s="14" t="inlineStr">
        <is>
          <t>Unit test</t>
        </is>
      </c>
      <c r="M83" s="19" t="inlineStr">
        <is>
          <t>Not run</t>
        </is>
      </c>
      <c r="N83" s="19" t="inlineStr"/>
      <c r="O83" s="19" t="inlineStr"/>
      <c r="P83" s="20" t="inlineStr"/>
      <c r="Q83" s="19" t="inlineStr"/>
      <c r="R83" s="14" t="inlineStr">
        <is>
          <t>21 Oct 2026</t>
        </is>
      </c>
      <c r="S83" s="14" t="inlineStr">
        <is>
          <t>21 Oct 2026</t>
        </is>
      </c>
    </row>
    <row r="84">
      <c r="A84" s="16" t="inlineStr">
        <is>
          <t>TC-EMP-12</t>
        </is>
      </c>
      <c r="B84" s="14" t="inlineStr">
        <is>
          <t>Employee master &amp; Ministry fields</t>
        </is>
      </c>
      <c r="C84" s="18" t="inlineStr">
        <is>
          <t>Only an HR Manager can import the data sheet</t>
        </is>
      </c>
      <c r="D84" s="14" t="inlineStr">
        <is>
          <t>HR User</t>
        </is>
      </c>
      <c r="E84" s="18" t="inlineStr">
        <is>
          <t>HR User account.</t>
        </is>
      </c>
      <c r="F84" s="18" t="inlineStr">
        <is>
          <t>Open the Employees Missing Ministry Data report.</t>
        </is>
      </c>
      <c r="G84" s="18" t="inlineStr">
        <is>
          <t>—</t>
        </is>
      </c>
      <c r="H84" s="18" t="inlineStr">
        <is>
          <t>The report opens; there are no Download Data Sheet / Check / Import buttons.</t>
        </is>
      </c>
      <c r="I84" s="14" t="inlineStr">
        <is>
          <t>Medium</t>
        </is>
      </c>
      <c r="J84" s="14" t="inlineStr">
        <is>
          <t>Security</t>
        </is>
      </c>
      <c r="K84" s="14" t="inlineStr">
        <is>
          <t>RPT-02</t>
        </is>
      </c>
      <c r="L84" s="14" t="inlineStr">
        <is>
          <t>Pass</t>
        </is>
      </c>
      <c r="M84" s="19" t="inlineStr">
        <is>
          <t>Not run</t>
        </is>
      </c>
      <c r="N84" s="19" t="inlineStr"/>
      <c r="O84" s="19" t="inlineStr"/>
      <c r="P84" s="20" t="inlineStr"/>
      <c r="Q84" s="19" t="inlineStr"/>
      <c r="R84" s="14" t="inlineStr">
        <is>
          <t>21 Oct 2026</t>
        </is>
      </c>
      <c r="S84" s="14" t="inlineStr">
        <is>
          <t>21 Oct 2026</t>
        </is>
      </c>
    </row>
    <row r="85">
      <c r="A85" s="16" t="inlineStr">
        <is>
          <t>TC-LIC-01</t>
        </is>
      </c>
      <c r="B85" s="14" t="inlineStr">
        <is>
          <t>Medical licences</t>
        </is>
      </c>
      <c r="C85" s="18" t="inlineStr">
        <is>
          <t>HR creates a licence</t>
        </is>
      </c>
      <c r="D85" s="14" t="inlineStr">
        <is>
          <t>HR Manager</t>
        </is>
      </c>
      <c r="E85" s="18" t="inlineStr">
        <is>
          <t>—</t>
        </is>
      </c>
      <c r="F85" s="18" t="inlineStr">
        <is>
          <t>New Employee Medical License: employee, type, number, expiry; Save.</t>
        </is>
      </c>
      <c r="G85" s="18" t="inlineStr">
        <is>
          <t>—</t>
        </is>
      </c>
      <c r="H85" s="18" t="inlineStr">
        <is>
          <t>Saved.</t>
        </is>
      </c>
      <c r="I85" s="14" t="inlineStr">
        <is>
          <t>Medium</t>
        </is>
      </c>
      <c r="J85" s="14" t="inlineStr">
        <is>
          <t>Functional</t>
        </is>
      </c>
      <c r="K85" s="14" t="inlineStr">
        <is>
          <t>LIC-01</t>
        </is>
      </c>
      <c r="L85" s="14" t="inlineStr">
        <is>
          <t>Pass</t>
        </is>
      </c>
      <c r="M85" s="19" t="inlineStr">
        <is>
          <t>Not run</t>
        </is>
      </c>
      <c r="N85" s="19" t="inlineStr"/>
      <c r="O85" s="19" t="inlineStr"/>
      <c r="P85" s="20" t="inlineStr"/>
      <c r="Q85" s="19" t="inlineStr"/>
      <c r="R85" s="14" t="inlineStr">
        <is>
          <t>21 Oct 2026</t>
        </is>
      </c>
      <c r="S85" s="14" t="inlineStr">
        <is>
          <t>21 Oct 2026</t>
        </is>
      </c>
    </row>
    <row r="86">
      <c r="A86" s="16" t="inlineStr">
        <is>
          <t>TC-LIC-02</t>
        </is>
      </c>
      <c r="B86" s="14" t="inlineStr">
        <is>
          <t>Medical licences</t>
        </is>
      </c>
      <c r="C86" s="18" t="inlineStr">
        <is>
          <t>Employees see only their own licence</t>
        </is>
      </c>
      <c r="D86" s="14" t="inlineStr">
        <is>
          <t>Employee</t>
        </is>
      </c>
      <c r="E86" s="18" t="inlineStr">
        <is>
          <t>Licences for two employees.</t>
        </is>
      </c>
      <c r="F86" s="18" t="inlineStr">
        <is>
          <t>Each employee opens the licence list.</t>
        </is>
      </c>
      <c r="G86" s="18" t="inlineStr">
        <is>
          <t>—</t>
        </is>
      </c>
      <c r="H86" s="18" t="inlineStr">
        <is>
          <t>Only their own licence.</t>
        </is>
      </c>
      <c r="I86" s="14" t="inlineStr">
        <is>
          <t>High</t>
        </is>
      </c>
      <c r="J86" s="14" t="inlineStr">
        <is>
          <t>Security</t>
        </is>
      </c>
      <c r="K86" s="14" t="inlineStr">
        <is>
          <t>LIC-02</t>
        </is>
      </c>
      <c r="L86" s="14" t="inlineStr">
        <is>
          <t>Pass</t>
        </is>
      </c>
      <c r="M86" s="19" t="inlineStr">
        <is>
          <t>Not run</t>
        </is>
      </c>
      <c r="N86" s="19" t="inlineStr"/>
      <c r="O86" s="19" t="inlineStr"/>
      <c r="P86" s="20" t="inlineStr"/>
      <c r="Q86" s="19" t="inlineStr"/>
      <c r="R86" s="14" t="inlineStr">
        <is>
          <t>21 Oct 2026</t>
        </is>
      </c>
      <c r="S86" s="14" t="inlineStr">
        <is>
          <t>21 Oct 2026</t>
        </is>
      </c>
    </row>
    <row r="87">
      <c r="A87" s="16" t="inlineStr">
        <is>
          <t>TC-REC-01</t>
        </is>
      </c>
      <c r="B87" s="14" t="inlineStr">
        <is>
          <t>Recruitment</t>
        </is>
      </c>
      <c r="C87" s="18" t="inlineStr">
        <is>
          <t>Create and generate an application link</t>
        </is>
      </c>
      <c r="D87" s="14" t="inlineStr">
        <is>
          <t>HR Manager</t>
        </is>
      </c>
      <c r="E87" s="18" t="inlineStr">
        <is>
          <t>—</t>
        </is>
      </c>
      <c r="F87" s="18" t="inlineStr">
        <is>
          <t>1. New Job Application Link.
2. Category Academic Staff, Role Instructor, valid from/until.
3. Save.
4. Generate Link.</t>
        </is>
      </c>
      <c r="G87" s="18" t="inlineStr">
        <is>
          <t>—</t>
        </is>
      </c>
      <c r="H87" s="18" t="inlineStr">
        <is>
          <t>A link is shown and can be copied.</t>
        </is>
      </c>
      <c r="I87" s="14" t="inlineStr">
        <is>
          <t>High</t>
        </is>
      </c>
      <c r="J87" s="14" t="inlineStr">
        <is>
          <t>Functional</t>
        </is>
      </c>
      <c r="K87" s="14" t="inlineStr">
        <is>
          <t>REC-03</t>
        </is>
      </c>
      <c r="L87" s="14" t="inlineStr">
        <is>
          <t>Pass</t>
        </is>
      </c>
      <c r="M87" s="19" t="inlineStr">
        <is>
          <t>Not run</t>
        </is>
      </c>
      <c r="N87" s="19" t="inlineStr"/>
      <c r="O87" s="19" t="inlineStr"/>
      <c r="P87" s="20" t="inlineStr"/>
      <c r="Q87" s="19" t="inlineStr"/>
      <c r="R87" s="14" t="inlineStr">
        <is>
          <t>21 Oct 2026</t>
        </is>
      </c>
      <c r="S87" s="14" t="inlineStr">
        <is>
          <t>21 Oct 2026</t>
        </is>
      </c>
    </row>
    <row r="88">
      <c r="A88" s="16" t="inlineStr">
        <is>
          <t>TC-REC-02</t>
        </is>
      </c>
      <c r="B88" s="14" t="inlineStr">
        <is>
          <t>Recruitment</t>
        </is>
      </c>
      <c r="C88" s="18" t="inlineStr">
        <is>
          <t>Invalid or expired link</t>
        </is>
      </c>
      <c r="D88" s="14" t="inlineStr">
        <is>
          <t>Applicant (not logged in)</t>
        </is>
      </c>
      <c r="E88" s="18" t="inlineStr">
        <is>
          <t>—</t>
        </is>
      </c>
      <c r="F88" s="18" t="inlineStr">
        <is>
          <t>Open /job-application/abc123 and an expired link.</t>
        </is>
      </c>
      <c r="G88" s="18" t="inlineStr">
        <is>
          <t>—</t>
        </is>
      </c>
      <c r="H88" s="18" t="inlineStr">
        <is>
          <t>'Link is invalid / not active' message; no form.</t>
        </is>
      </c>
      <c r="I88" s="14" t="inlineStr">
        <is>
          <t>Medium</t>
        </is>
      </c>
      <c r="J88" s="14" t="inlineStr">
        <is>
          <t>Negative</t>
        </is>
      </c>
      <c r="K88" s="14" t="inlineStr">
        <is>
          <t>REC-01</t>
        </is>
      </c>
      <c r="L88" s="14" t="inlineStr">
        <is>
          <t>Pass</t>
        </is>
      </c>
      <c r="M88" s="19" t="inlineStr">
        <is>
          <t>Not run</t>
        </is>
      </c>
      <c r="N88" s="19" t="inlineStr"/>
      <c r="O88" s="19" t="inlineStr"/>
      <c r="P88" s="20" t="inlineStr"/>
      <c r="Q88" s="19" t="inlineStr"/>
      <c r="R88" s="14" t="inlineStr">
        <is>
          <t>21 Oct 2026</t>
        </is>
      </c>
      <c r="S88" s="14" t="inlineStr">
        <is>
          <t>21 Oct 2026</t>
        </is>
      </c>
    </row>
    <row r="89">
      <c r="A89" s="16" t="inlineStr">
        <is>
          <t>TC-REC-03</t>
        </is>
      </c>
      <c r="B89" s="14" t="inlineStr">
        <is>
          <t>Recruitment</t>
        </is>
      </c>
      <c r="C89" s="18" t="inlineStr">
        <is>
          <t>Required fields on the public form</t>
        </is>
      </c>
      <c r="D89" s="14" t="inlineStr">
        <is>
          <t>Applicant (not logged in)</t>
        </is>
      </c>
      <c r="E89" s="18" t="inlineStr">
        <is>
          <t>Valid link.</t>
        </is>
      </c>
      <c r="F89" s="18" t="inlineStr">
        <is>
          <t>Click Submit with the form empty.</t>
        </is>
      </c>
      <c r="G89" s="18" t="inlineStr">
        <is>
          <t>—</t>
        </is>
      </c>
      <c r="H89" s="18" t="inlineStr">
        <is>
          <t>Browser highlights the required fields; nothing is sent.</t>
        </is>
      </c>
      <c r="I89" s="14" t="inlineStr">
        <is>
          <t>Medium</t>
        </is>
      </c>
      <c r="J89" s="14" t="inlineStr">
        <is>
          <t>Negative</t>
        </is>
      </c>
      <c r="K89" s="14" t="inlineStr">
        <is>
          <t>—</t>
        </is>
      </c>
      <c r="L89" s="14" t="inlineStr">
        <is>
          <t>Manual only</t>
        </is>
      </c>
      <c r="M89" s="19" t="inlineStr">
        <is>
          <t>Not run</t>
        </is>
      </c>
      <c r="N89" s="19" t="inlineStr"/>
      <c r="O89" s="19" t="inlineStr"/>
      <c r="P89" s="20" t="inlineStr"/>
      <c r="Q89" s="19" t="inlineStr"/>
      <c r="R89" s="14" t="inlineStr">
        <is>
          <t>21 Oct 2026</t>
        </is>
      </c>
      <c r="S89" s="14" t="inlineStr">
        <is>
          <t>21 Oct 2026</t>
        </is>
      </c>
    </row>
    <row r="90">
      <c r="A90" s="16" t="inlineStr">
        <is>
          <t>TC-REC-04</t>
        </is>
      </c>
      <c r="B90" s="14" t="inlineStr">
        <is>
          <t>Recruitment</t>
        </is>
      </c>
      <c r="C90" s="18" t="inlineStr">
        <is>
          <t>Applicant submits the full form</t>
        </is>
      </c>
      <c r="D90" s="14" t="inlineStr">
        <is>
          <t>Applicant (not logged in)</t>
        </is>
      </c>
      <c r="E90" s="18" t="inlineStr">
        <is>
          <t>Valid link.</t>
        </is>
      </c>
      <c r="F90" s="18" t="inlineStr">
        <is>
          <t>Fill every section (names in Arabic and English, ID, qualifications, experience) and Submit.</t>
        </is>
      </c>
      <c r="G90" s="18" t="inlineStr">
        <is>
          <t>Saudi national ID</t>
        </is>
      </c>
      <c r="H90" s="18" t="inlineStr">
        <is>
          <t>'Thank you' with a reference number APP-....</t>
        </is>
      </c>
      <c r="I90" s="14" t="inlineStr">
        <is>
          <t>Critical</t>
        </is>
      </c>
      <c r="J90" s="14" t="inlineStr">
        <is>
          <t>Functional</t>
        </is>
      </c>
      <c r="K90" s="14" t="inlineStr">
        <is>
          <t>REC-03..05</t>
        </is>
      </c>
      <c r="L90" s="14" t="inlineStr">
        <is>
          <t>Pass</t>
        </is>
      </c>
      <c r="M90" s="19" t="inlineStr">
        <is>
          <t>Not run</t>
        </is>
      </c>
      <c r="N90" s="19" t="inlineStr"/>
      <c r="O90" s="19" t="inlineStr"/>
      <c r="P90" s="20" t="inlineStr"/>
      <c r="Q90" s="19" t="inlineStr"/>
      <c r="R90" s="14" t="inlineStr">
        <is>
          <t>21 Oct 2026</t>
        </is>
      </c>
      <c r="S90" s="14" t="inlineStr">
        <is>
          <t>21 Oct 2026</t>
        </is>
      </c>
    </row>
    <row r="91">
      <c r="A91" s="16" t="inlineStr">
        <is>
          <t>TC-REC-05</t>
        </is>
      </c>
      <c r="B91" s="14" t="inlineStr">
        <is>
          <t>Recruitment</t>
        </is>
      </c>
      <c r="C91" s="18" t="inlineStr">
        <is>
          <t>Accept and create an Instructor</t>
        </is>
      </c>
      <c r="D91" s="14" t="inlineStr">
        <is>
          <t>HR Manager</t>
        </is>
      </c>
      <c r="E91" s="18" t="inlineStr">
        <is>
          <t>TC-REC-04 for an Instructor link.</t>
        </is>
      </c>
      <c r="F91" s="18" t="inlineStr">
        <is>
          <t>1. Open the applicant.
2. Accept.
3. Create Employee: Company Email = official college address, department.
4. Confirm.</t>
        </is>
      </c>
      <c r="G91" s="18" t="inlineStr">
        <is>
          <t>name.surname@alriyada.edu.sa</t>
        </is>
      </c>
      <c r="H91" s="18" t="inlineStr">
        <is>
          <t>Message lists Employee and Instructor created; the new login has Employee + Instructor roles.</t>
        </is>
      </c>
      <c r="I91" s="14" t="inlineStr">
        <is>
          <t>Critical</t>
        </is>
      </c>
      <c r="J91" s="14" t="inlineStr">
        <is>
          <t>Functional</t>
        </is>
      </c>
      <c r="K91" s="14" t="inlineStr">
        <is>
          <t>REC-03</t>
        </is>
      </c>
      <c r="L91" s="14" t="inlineStr">
        <is>
          <t>Pass</t>
        </is>
      </c>
      <c r="M91" s="19" t="inlineStr">
        <is>
          <t>Not run</t>
        </is>
      </c>
      <c r="N91" s="19" t="inlineStr"/>
      <c r="O91" s="19" t="inlineStr"/>
      <c r="P91" s="20" t="inlineStr"/>
      <c r="Q91" s="19" t="inlineStr"/>
      <c r="R91" s="14" t="inlineStr">
        <is>
          <t>21 Oct 2026</t>
        </is>
      </c>
      <c r="S91" s="14" t="inlineStr">
        <is>
          <t>21 Oct 2026</t>
        </is>
      </c>
    </row>
    <row r="92">
      <c r="A92" s="16" t="inlineStr">
        <is>
          <t>TC-REC-06</t>
        </is>
      </c>
      <c r="B92" s="14" t="inlineStr">
        <is>
          <t>Recruitment</t>
        </is>
      </c>
      <c r="C92" s="18" t="inlineStr">
        <is>
          <t>Hire an Academic Advisor</t>
        </is>
      </c>
      <c r="D92" s="14" t="inlineStr">
        <is>
          <t>HR Manager</t>
        </is>
      </c>
      <c r="E92" s="18" t="inlineStr">
        <is>
          <t>Applicant for an Academic Advisor link with a phone like 05XXXXXXXX.</t>
        </is>
      </c>
      <c r="F92" s="18" t="inlineStr">
        <is>
          <t>Accept -&gt; Create Employee with a @alriyada.edu.sa Company Email.</t>
        </is>
      </c>
      <c r="G92" s="18" t="inlineStr">
        <is>
          <t>Local phone number</t>
        </is>
      </c>
      <c r="H92" s="18" t="inlineStr">
        <is>
          <t>Employee, Academic Advisor and Instructor records created; no 'record not created' warning.</t>
        </is>
      </c>
      <c r="I92" s="14" t="inlineStr">
        <is>
          <t>High</t>
        </is>
      </c>
      <c r="J92" s="14" t="inlineStr">
        <is>
          <t>Regression</t>
        </is>
      </c>
      <c r="K92" s="14" t="inlineStr">
        <is>
          <t>REC-04</t>
        </is>
      </c>
      <c r="L92" s="14" t="inlineStr">
        <is>
          <t>Pass</t>
        </is>
      </c>
      <c r="M92" s="19" t="inlineStr">
        <is>
          <t>Not run</t>
        </is>
      </c>
      <c r="N92" s="19" t="inlineStr"/>
      <c r="O92" s="19" t="inlineStr"/>
      <c r="P92" s="20" t="inlineStr"/>
      <c r="Q92" s="19" t="inlineStr"/>
      <c r="R92" s="14" t="inlineStr">
        <is>
          <t>21 Oct 2026</t>
        </is>
      </c>
      <c r="S92" s="14" t="inlineStr">
        <is>
          <t>21 Oct 2026</t>
        </is>
      </c>
    </row>
    <row r="93">
      <c r="A93" s="16" t="inlineStr">
        <is>
          <t>TC-REC-07</t>
        </is>
      </c>
      <c r="B93" s="14" t="inlineStr">
        <is>
          <t>Recruitment</t>
        </is>
      </c>
      <c r="C93" s="18" t="inlineStr">
        <is>
          <t>Hire non-academic staff</t>
        </is>
      </c>
      <c r="D93" s="14" t="inlineStr">
        <is>
          <t>HR Manager</t>
        </is>
      </c>
      <c r="E93" s="18" t="inlineStr">
        <is>
          <t>Applicant for a Non-Academic link.</t>
        </is>
      </c>
      <c r="F93" s="18" t="inlineStr">
        <is>
          <t>Accept -&gt; Create Employee.</t>
        </is>
      </c>
      <c r="G93" s="18" t="inlineStr">
        <is>
          <t>—</t>
        </is>
      </c>
      <c r="H93" s="18" t="inlineStr">
        <is>
          <t>Employee created; work phone and extension kept on the Employee.</t>
        </is>
      </c>
      <c r="I93" s="14" t="inlineStr">
        <is>
          <t>High</t>
        </is>
      </c>
      <c r="J93" s="14" t="inlineStr">
        <is>
          <t>Functional</t>
        </is>
      </c>
      <c r="K93" s="14" t="inlineStr">
        <is>
          <t>REC-05/06</t>
        </is>
      </c>
      <c r="L93" s="14" t="inlineStr">
        <is>
          <t>Pass</t>
        </is>
      </c>
      <c r="M93" s="19" t="inlineStr">
        <is>
          <t>Not run</t>
        </is>
      </c>
      <c r="N93" s="19" t="inlineStr"/>
      <c r="O93" s="19" t="inlineStr"/>
      <c r="P93" s="20" t="inlineStr"/>
      <c r="Q93" s="19" t="inlineStr"/>
      <c r="R93" s="14" t="inlineStr">
        <is>
          <t>21 Oct 2026</t>
        </is>
      </c>
      <c r="S93" s="14" t="inlineStr">
        <is>
          <t>21 Oct 2026</t>
        </is>
      </c>
    </row>
    <row r="94">
      <c r="A94" s="16" t="inlineStr">
        <is>
          <t>TC-REC-08</t>
        </is>
      </c>
      <c r="B94" s="14" t="inlineStr">
        <is>
          <t>Recruitment</t>
        </is>
      </c>
      <c r="C94" s="18" t="inlineStr">
        <is>
          <t>Reject an applicant</t>
        </is>
      </c>
      <c r="D94" s="14" t="inlineStr">
        <is>
          <t>HR Manager</t>
        </is>
      </c>
      <c r="E94" s="18" t="inlineStr">
        <is>
          <t>A Pending applicant.</t>
        </is>
      </c>
      <c r="F94" s="18" t="inlineStr">
        <is>
          <t>Click Reject.</t>
        </is>
      </c>
      <c r="G94" s="18" t="inlineStr">
        <is>
          <t>—</t>
        </is>
      </c>
      <c r="H94" s="18" t="inlineStr">
        <is>
          <t>Status Rejected; Create Employee not offered.</t>
        </is>
      </c>
      <c r="I94" s="14" t="inlineStr">
        <is>
          <t>Medium</t>
        </is>
      </c>
      <c r="J94" s="14" t="inlineStr">
        <is>
          <t>Functional</t>
        </is>
      </c>
      <c r="K94" s="14" t="inlineStr">
        <is>
          <t>—</t>
        </is>
      </c>
      <c r="L94" s="14" t="inlineStr">
        <is>
          <t>Manual only</t>
        </is>
      </c>
      <c r="M94" s="19" t="inlineStr">
        <is>
          <t>Not run</t>
        </is>
      </c>
      <c r="N94" s="19" t="inlineStr"/>
      <c r="O94" s="19" t="inlineStr"/>
      <c r="P94" s="20" t="inlineStr"/>
      <c r="Q94" s="19" t="inlineStr"/>
      <c r="R94" s="14" t="inlineStr">
        <is>
          <t>21 Oct 2026</t>
        </is>
      </c>
      <c r="S94" s="14" t="inlineStr">
        <is>
          <t>21 Oct 2026</t>
        </is>
      </c>
    </row>
    <row r="95">
      <c r="A95" s="16" t="inlineStr">
        <is>
          <t>TC-REC-09</t>
        </is>
      </c>
      <c r="B95" s="14" t="inlineStr">
        <is>
          <t>Recruitment</t>
        </is>
      </c>
      <c r="C95" s="18" t="inlineStr">
        <is>
          <t>Duplicate applicant identity</t>
        </is>
      </c>
      <c r="D95" s="14" t="inlineStr">
        <is>
          <t>Applicant (not logged in)</t>
        </is>
      </c>
      <c r="E95" s="18" t="inlineStr">
        <is>
          <t>An employee already has the ID number.</t>
        </is>
      </c>
      <c r="F95" s="18" t="inlineStr">
        <is>
          <t>Submit a new application with that ID; HR tries to create the Employee.</t>
        </is>
      </c>
      <c r="G95" s="18" t="inlineStr">
        <is>
          <t>Existing ID</t>
        </is>
      </c>
      <c r="H95" s="18" t="inlineStr">
        <is>
          <t>Creating the Employee is refused as a duplicate.</t>
        </is>
      </c>
      <c r="I95" s="14" t="inlineStr">
        <is>
          <t>Medium</t>
        </is>
      </c>
      <c r="J95" s="14" t="inlineStr">
        <is>
          <t>Negative</t>
        </is>
      </c>
      <c r="K95" s="14" t="inlineStr">
        <is>
          <t>—</t>
        </is>
      </c>
      <c r="L95" s="14" t="inlineStr">
        <is>
          <t>Manual only</t>
        </is>
      </c>
      <c r="M95" s="19" t="inlineStr">
        <is>
          <t>Not run</t>
        </is>
      </c>
      <c r="N95" s="19" t="inlineStr"/>
      <c r="O95" s="19" t="inlineStr"/>
      <c r="P95" s="20" t="inlineStr"/>
      <c r="Q95" s="19" t="inlineStr"/>
      <c r="R95" s="14" t="inlineStr">
        <is>
          <t>21 Oct 2026</t>
        </is>
      </c>
      <c r="S95" s="14" t="inlineStr">
        <is>
          <t>21 Oct 2026</t>
        </is>
      </c>
    </row>
    <row r="96">
      <c r="A96" s="16" t="inlineStr">
        <is>
          <t>TC-REC-11</t>
        </is>
      </c>
      <c r="B96" s="14" t="inlineStr">
        <is>
          <t>Recruitment</t>
        </is>
      </c>
      <c r="C96" s="18" t="inlineStr">
        <is>
          <t>A new hire's record opens clean</t>
        </is>
      </c>
      <c r="D96" s="14" t="inlineStr">
        <is>
          <t>HR Manager</t>
        </is>
      </c>
      <c r="E96" s="18" t="inlineStr">
        <is>
          <t>An applicant who answered 'Has Special Needs = No' but also picked a type (and, if Saudi, typed a home-country ID).</t>
        </is>
      </c>
      <c r="F96" s="18" t="inlineStr">
        <is>
          <t>1. Hire them (Create Employee).
2. Open the new Employee record.</t>
        </is>
      </c>
      <c r="G96" s="18" t="inlineStr">
        <is>
          <t>—</t>
        </is>
      </c>
      <c r="H96" s="18" t="inlineStr">
        <is>
          <t>The record shows its status (not 'Not Saved'); special-needs type and home-country ID are empty.</t>
        </is>
      </c>
      <c r="I96" s="14" t="inlineStr">
        <is>
          <t>High</t>
        </is>
      </c>
      <c r="J96" s="14" t="inlineStr">
        <is>
          <t>Regression</t>
        </is>
      </c>
      <c r="K96" s="14" t="inlineStr">
        <is>
          <t>REC-09</t>
        </is>
      </c>
      <c r="L96" s="14" t="inlineStr">
        <is>
          <t>Pass</t>
        </is>
      </c>
      <c r="M96" s="19" t="inlineStr">
        <is>
          <t>Not run</t>
        </is>
      </c>
      <c r="N96" s="19" t="inlineStr"/>
      <c r="O96" s="19" t="inlineStr"/>
      <c r="P96" s="20" t="inlineStr"/>
      <c r="Q96" s="19" t="inlineStr"/>
      <c r="R96" s="14" t="inlineStr">
        <is>
          <t>21 Oct 2026</t>
        </is>
      </c>
      <c r="S96" s="14" t="inlineStr">
        <is>
          <t>21 Oct 2026</t>
        </is>
      </c>
    </row>
    <row r="97">
      <c r="A97" s="16" t="inlineStr">
        <is>
          <t>TC-REC-12</t>
        </is>
      </c>
      <c r="B97" s="14" t="inlineStr">
        <is>
          <t>Recruitment</t>
        </is>
      </c>
      <c r="C97" s="18" t="inlineStr">
        <is>
          <t>Create Employee asks for what the Employee form requires</t>
        </is>
      </c>
      <c r="D97" s="14" t="inlineStr">
        <is>
          <t>HR Manager</t>
        </is>
      </c>
      <c r="E97" s="18" t="inlineStr">
        <is>
          <t>An Accepted applicant.</t>
        </is>
      </c>
      <c r="F97" s="18" t="inlineStr">
        <is>
          <t>1. Create Employee.
2. Look at the Employee Record section of the dialog.
3. Fill it and confirm.
4. Open the new Employee, change any field, Save.</t>
        </is>
      </c>
      <c r="G97" s="18" t="inlineStr">
        <is>
          <t>—</t>
        </is>
      </c>
      <c r="H97" s="18" t="inlineStr">
        <is>
          <t>The dialog asks for Academic Department, Geographical Work Location, City and Job Rank (pre-filled from the application), and Gender / Date of Birth only when the application left them empty. The Employee saves with no 'Missing Fields'.</t>
        </is>
      </c>
      <c r="I97" s="14" t="inlineStr">
        <is>
          <t>High</t>
        </is>
      </c>
      <c r="J97" s="14" t="inlineStr">
        <is>
          <t>Regression</t>
        </is>
      </c>
      <c r="K97" s="14" t="inlineStr">
        <is>
          <t>REC-10</t>
        </is>
      </c>
      <c r="L97" s="14" t="inlineStr">
        <is>
          <t>Pass</t>
        </is>
      </c>
      <c r="M97" s="19" t="inlineStr">
        <is>
          <t>Not run</t>
        </is>
      </c>
      <c r="N97" s="19" t="inlineStr"/>
      <c r="O97" s="19" t="inlineStr"/>
      <c r="P97" s="20" t="inlineStr"/>
      <c r="Q97" s="19" t="inlineStr"/>
      <c r="R97" s="14" t="inlineStr">
        <is>
          <t>21 Oct 2026</t>
        </is>
      </c>
      <c r="S97" s="14" t="inlineStr">
        <is>
          <t>21 Oct 2026</t>
        </is>
      </c>
    </row>
    <row r="98">
      <c r="A98" s="16" t="inlineStr">
        <is>
          <t>TC-REC-13</t>
        </is>
      </c>
      <c r="B98" s="14" t="inlineStr">
        <is>
          <t>Recruitment</t>
        </is>
      </c>
      <c r="C98" s="18" t="inlineStr">
        <is>
          <t>Phone number with country code</t>
        </is>
      </c>
      <c r="D98" s="14" t="inlineStr">
        <is>
          <t>Applicant (not logged in)</t>
        </is>
      </c>
      <c r="E98" s="18" t="inlineStr">
        <is>
          <t>A valid application link.</t>
        </is>
      </c>
      <c r="F98" s="18" t="inlineStr">
        <is>
          <t>1. Open the link.
2. Pick a country code next to Phone Number and enter a number that is too short (e.g. 123).
3. Send.
4. Correct it and send again.</t>
        </is>
      </c>
      <c r="G98" s="18" t="inlineStr">
        <is>
          <t>123, then a full mobile number</t>
        </is>
      </c>
      <c r="H98" s="18" t="inlineStr">
        <is>
          <t>Too short: 'Enter a valid phone number including the country code.' Corrected: the application is sent.</t>
        </is>
      </c>
      <c r="I98" s="14" t="inlineStr">
        <is>
          <t>Medium</t>
        </is>
      </c>
      <c r="J98" s="14" t="inlineStr">
        <is>
          <t>Negative</t>
        </is>
      </c>
      <c r="K98" s="14" t="inlineStr">
        <is>
          <t>—</t>
        </is>
      </c>
      <c r="L98" s="14" t="inlineStr">
        <is>
          <t>Manual only</t>
        </is>
      </c>
      <c r="M98" s="19" t="inlineStr">
        <is>
          <t>Not run</t>
        </is>
      </c>
      <c r="N98" s="19" t="inlineStr"/>
      <c r="O98" s="19" t="inlineStr"/>
      <c r="P98" s="20" t="inlineStr"/>
      <c r="Q98" s="19" t="inlineStr"/>
      <c r="R98" s="14" t="inlineStr">
        <is>
          <t>22 Oct 2026</t>
        </is>
      </c>
      <c r="S98" s="14" t="inlineStr">
        <is>
          <t>22 Oct 2026</t>
        </is>
      </c>
    </row>
    <row r="99">
      <c r="A99" s="16" t="inlineStr">
        <is>
          <t>TC-REC-14</t>
        </is>
      </c>
      <c r="B99" s="14" t="inlineStr">
        <is>
          <t>Recruitment</t>
        </is>
      </c>
      <c r="C99" s="18" t="inlineStr">
        <is>
          <t>Receipt after sending the application</t>
        </is>
      </c>
      <c r="D99" s="14" t="inlineStr">
        <is>
          <t>Applicant (not logged in)</t>
        </is>
      </c>
      <c r="E99" s="18" t="inlineStr">
        <is>
          <t>TC-REC-13 done (application sent).</t>
        </is>
      </c>
      <c r="F99" s="18" t="inlineStr">
        <is>
          <t>On the confirmation screen click the receipt download button.</t>
        </is>
      </c>
      <c r="G99" s="18" t="inlineStr">
        <is>
          <t>—</t>
        </is>
      </c>
      <c r="H99" s="18" t="inlineStr">
        <is>
          <t>A PDF receipt with the reference number and the applicant's answers downloads; changing the link's key gives 'This download link is not valid'.</t>
        </is>
      </c>
      <c r="I99" s="14" t="inlineStr">
        <is>
          <t>Medium</t>
        </is>
      </c>
      <c r="J99" s="14" t="inlineStr">
        <is>
          <t>Functional</t>
        </is>
      </c>
      <c r="K99" s="14" t="inlineStr">
        <is>
          <t>—</t>
        </is>
      </c>
      <c r="L99" s="14" t="inlineStr">
        <is>
          <t>Manual only</t>
        </is>
      </c>
      <c r="M99" s="19" t="inlineStr">
        <is>
          <t>Not run</t>
        </is>
      </c>
      <c r="N99" s="19" t="inlineStr"/>
      <c r="O99" s="19" t="inlineStr"/>
      <c r="P99" s="20" t="inlineStr"/>
      <c r="Q99" s="19" t="inlineStr"/>
      <c r="R99" s="14" t="inlineStr">
        <is>
          <t>22 Oct 2026</t>
        </is>
      </c>
      <c r="S99" s="14" t="inlineStr">
        <is>
          <t>22 Oct 2026</t>
        </is>
      </c>
    </row>
    <row r="100">
      <c r="A100" s="16" t="inlineStr">
        <is>
          <t>TC-REC-10</t>
        </is>
      </c>
      <c r="B100" s="14" t="inlineStr">
        <is>
          <t>Recruitment</t>
        </is>
      </c>
      <c r="C100" s="18" t="inlineStr">
        <is>
          <t>Academic hire needs the college e-mail</t>
        </is>
      </c>
      <c r="D100" s="14" t="inlineStr">
        <is>
          <t>HR Manager</t>
        </is>
      </c>
      <c r="E100" s="18" t="inlineStr">
        <is>
          <t>An Accepted applicant from an Instructor link.</t>
        </is>
      </c>
      <c r="F100" s="18" t="inlineStr">
        <is>
          <t>1. Create Employee.
2. Leave Company Email empty (or a gmail address).
3. Confirm.
4. Then enter a @alriyada.edu.sa address and confirm again.</t>
        </is>
      </c>
      <c r="G100" s="18" t="inlineStr">
        <is>
          <t>Personal e-mail, then college e-mail</t>
        </is>
      </c>
      <c r="H100" s="18" t="inlineStr">
        <is>
          <t>Step 3: 'College E-mail Needed' message and NO Employee is created. Step 4: Employee and Instructor are created, no orange warning.</t>
        </is>
      </c>
      <c r="I100" s="14" t="inlineStr">
        <is>
          <t>High</t>
        </is>
      </c>
      <c r="J100" s="14" t="inlineStr">
        <is>
          <t>Negative</t>
        </is>
      </c>
      <c r="K100" s="14" t="inlineStr">
        <is>
          <t>REC-08</t>
        </is>
      </c>
      <c r="L100" s="14" t="inlineStr">
        <is>
          <t>Pass</t>
        </is>
      </c>
      <c r="M100" s="19" t="inlineStr">
        <is>
          <t>Not run</t>
        </is>
      </c>
      <c r="N100" s="19" t="inlineStr"/>
      <c r="O100" s="19" t="inlineStr"/>
      <c r="P100" s="20" t="inlineStr"/>
      <c r="Q100" s="19" t="inlineStr"/>
      <c r="R100" s="14" t="inlineStr">
        <is>
          <t>21 Oct 2026</t>
        </is>
      </c>
      <c r="S100" s="14" t="inlineStr">
        <is>
          <t>21 Oct 2026</t>
        </is>
      </c>
    </row>
    <row r="101">
      <c r="A101" s="16" t="inlineStr">
        <is>
          <t>TC-PRS-01</t>
        </is>
      </c>
      <c r="B101" s="14" t="inlineStr">
        <is>
          <t>Academic presence</t>
        </is>
      </c>
      <c r="C101" s="18" t="inlineStr">
        <is>
          <t>Faculty schedules</t>
        </is>
      </c>
      <c r="D101" s="14" t="inlineStr">
        <is>
          <t>HR Manager</t>
        </is>
      </c>
      <c r="E101" s="18" t="inlineStr">
        <is>
          <t>Published class timetables.</t>
        </is>
      </c>
      <c r="F101" s="18" t="inlineStr">
        <is>
          <t>HR Dashboard -&gt; Faculty Schedules; choose a week.</t>
        </is>
      </c>
      <c r="G101" s="18" t="inlineStr">
        <is>
          <t>6–12 Sep 2026</t>
        </is>
      </c>
      <c r="H101" s="18" t="inlineStr">
        <is>
          <t>Sessions per faculty member with day, time, course, room and mode.</t>
        </is>
      </c>
      <c r="I101" s="14" t="inlineStr">
        <is>
          <t>High</t>
        </is>
      </c>
      <c r="J101" s="14" t="inlineStr">
        <is>
          <t>Functional</t>
        </is>
      </c>
      <c r="K101" s="14" t="inlineStr">
        <is>
          <t>PRS-01</t>
        </is>
      </c>
      <c r="L101" s="14" t="inlineStr">
        <is>
          <t>Pass</t>
        </is>
      </c>
      <c r="M101" s="19" t="inlineStr">
        <is>
          <t>Not run</t>
        </is>
      </c>
      <c r="N101" s="19" t="inlineStr"/>
      <c r="O101" s="19" t="inlineStr"/>
      <c r="P101" s="20" t="inlineStr"/>
      <c r="Q101" s="19" t="inlineStr"/>
      <c r="R101" s="14" t="inlineStr">
        <is>
          <t>21 Oct 2026</t>
        </is>
      </c>
      <c r="S101" s="14" t="inlineStr">
        <is>
          <t>21 Oct 2026</t>
        </is>
      </c>
    </row>
    <row r="102">
      <c r="A102" s="16" t="inlineStr">
        <is>
          <t>TC-PRS-02</t>
        </is>
      </c>
      <c r="B102" s="14" t="inlineStr">
        <is>
          <t>Academic presence</t>
        </is>
      </c>
      <c r="C102" s="18" t="inlineStr">
        <is>
          <t>Filter one faculty member</t>
        </is>
      </c>
      <c r="D102" s="14" t="inlineStr">
        <is>
          <t>HR Manager</t>
        </is>
      </c>
      <c r="E102" s="18" t="inlineStr">
        <is>
          <t>—</t>
        </is>
      </c>
      <c r="F102" s="18" t="inlineStr">
        <is>
          <t>Pick a faculty member in the filter.</t>
        </is>
      </c>
      <c r="G102" s="18" t="inlineStr">
        <is>
          <t>—</t>
        </is>
      </c>
      <c r="H102" s="18" t="inlineStr">
        <is>
          <t>Only that person's sessions.</t>
        </is>
      </c>
      <c r="I102" s="14" t="inlineStr">
        <is>
          <t>Medium</t>
        </is>
      </c>
      <c r="J102" s="14" t="inlineStr">
        <is>
          <t>Functional</t>
        </is>
      </c>
      <c r="K102" s="14" t="inlineStr">
        <is>
          <t>PRS-02</t>
        </is>
      </c>
      <c r="L102" s="14" t="inlineStr">
        <is>
          <t>Pass</t>
        </is>
      </c>
      <c r="M102" s="19" t="inlineStr">
        <is>
          <t>Not run</t>
        </is>
      </c>
      <c r="N102" s="19" t="inlineStr"/>
      <c r="O102" s="19" t="inlineStr"/>
      <c r="P102" s="20" t="inlineStr"/>
      <c r="Q102" s="19" t="inlineStr"/>
      <c r="R102" s="14" t="inlineStr">
        <is>
          <t>21 Oct 2026</t>
        </is>
      </c>
      <c r="S102" s="14" t="inlineStr">
        <is>
          <t>21 Oct 2026</t>
        </is>
      </c>
    </row>
    <row r="103">
      <c r="A103" s="16" t="inlineStr">
        <is>
          <t>TC-PRS-03</t>
        </is>
      </c>
      <c r="B103" s="14" t="inlineStr">
        <is>
          <t>Academic presence</t>
        </is>
      </c>
      <c r="C103" s="18" t="inlineStr">
        <is>
          <t>Proctor schedules</t>
        </is>
      </c>
      <c r="D103" s="14" t="inlineStr">
        <is>
          <t>HR Manager</t>
        </is>
      </c>
      <c r="E103" s="18" t="inlineStr">
        <is>
          <t>Exam committees with proctors.</t>
        </is>
      </c>
      <c r="F103" s="18" t="inlineStr">
        <is>
          <t>Open Proctor Schedules for the exam week.</t>
        </is>
      </c>
      <c r="G103" s="18" t="inlineStr">
        <is>
          <t>Exam week</t>
        </is>
      </c>
      <c r="H103" s="18" t="inlineStr">
        <is>
          <t>Proctor assignments, or a clear 'no assignments' message.</t>
        </is>
      </c>
      <c r="I103" s="14" t="inlineStr">
        <is>
          <t>Medium</t>
        </is>
      </c>
      <c r="J103" s="14" t="inlineStr">
        <is>
          <t>Functional</t>
        </is>
      </c>
      <c r="K103" s="14" t="inlineStr">
        <is>
          <t>PRS-03</t>
        </is>
      </c>
      <c r="L103" s="14" t="inlineStr">
        <is>
          <t>Pass</t>
        </is>
      </c>
      <c r="M103" s="19" t="inlineStr">
        <is>
          <t>Not run</t>
        </is>
      </c>
      <c r="N103" s="19" t="inlineStr"/>
      <c r="O103" s="19" t="inlineStr"/>
      <c r="P103" s="20" t="inlineStr"/>
      <c r="Q103" s="19" t="inlineStr"/>
      <c r="R103" s="14" t="inlineStr">
        <is>
          <t>21 Oct 2026</t>
        </is>
      </c>
      <c r="S103" s="14" t="inlineStr">
        <is>
          <t>21 Oct 2026</t>
        </is>
      </c>
    </row>
    <row r="104">
      <c r="A104" s="16" t="inlineStr">
        <is>
          <t>TC-PRS-04</t>
        </is>
      </c>
      <c r="B104" s="14" t="inlineStr">
        <is>
          <t>Academic presence</t>
        </is>
      </c>
      <c r="C104" s="18" t="inlineStr">
        <is>
          <t>Students on campus per hour</t>
        </is>
      </c>
      <c r="D104" s="14" t="inlineStr">
        <is>
          <t>HR Manager</t>
        </is>
      </c>
      <c r="E104" s="18" t="inlineStr">
        <is>
          <t>Attendance recorded.</t>
        </is>
      </c>
      <c r="F104" s="18" t="inlineStr">
        <is>
          <t>Open Students on Campus for a teaching day.</t>
        </is>
      </c>
      <c r="G104" s="18" t="inlineStr">
        <is>
          <t>8 Sep 2026</t>
        </is>
      </c>
      <c r="H104" s="18" t="inlineStr">
        <is>
          <t>Hourly table: expected, present, absent, not recorded. Totals match attendance.</t>
        </is>
      </c>
      <c r="I104" s="14" t="inlineStr">
        <is>
          <t>High</t>
        </is>
      </c>
      <c r="J104" s="14" t="inlineStr">
        <is>
          <t>Functional</t>
        </is>
      </c>
      <c r="K104" s="14" t="inlineStr">
        <is>
          <t>PRS-04</t>
        </is>
      </c>
      <c r="L104" s="14" t="inlineStr">
        <is>
          <t>Pass</t>
        </is>
      </c>
      <c r="M104" s="19" t="inlineStr">
        <is>
          <t>Not run</t>
        </is>
      </c>
      <c r="N104" s="19" t="inlineStr"/>
      <c r="O104" s="19" t="inlineStr"/>
      <c r="P104" s="20" t="inlineStr"/>
      <c r="Q104" s="19" t="inlineStr"/>
      <c r="R104" s="14" t="inlineStr">
        <is>
          <t>21 Oct 2026</t>
        </is>
      </c>
      <c r="S104" s="14" t="inlineStr">
        <is>
          <t>21 Oct 2026</t>
        </is>
      </c>
    </row>
    <row r="105">
      <c r="A105" s="16" t="inlineStr">
        <is>
          <t>TC-PRS-05</t>
        </is>
      </c>
      <c r="B105" s="14" t="inlineStr">
        <is>
          <t>Academic presence</t>
        </is>
      </c>
      <c r="C105" s="18" t="inlineStr">
        <is>
          <t>Faculty after 4 PM</t>
        </is>
      </c>
      <c r="D105" s="14" t="inlineStr">
        <is>
          <t>HR Manager</t>
        </is>
      </c>
      <c r="E105" s="18" t="inlineStr">
        <is>
          <t>—</t>
        </is>
      </c>
      <c r="F105" s="18" t="inlineStr">
        <is>
          <t>Open Faculty After 4 PM for a week.</t>
        </is>
      </c>
      <c r="G105" s="18" t="inlineStr">
        <is>
          <t>—</t>
        </is>
      </c>
      <c r="H105" s="18" t="inlineStr">
        <is>
          <t>People on campus after 16:00 with evidence (device / attendance / timetable).</t>
        </is>
      </c>
      <c r="I105" s="14" t="inlineStr">
        <is>
          <t>High</t>
        </is>
      </c>
      <c r="J105" s="14" t="inlineStr">
        <is>
          <t>Functional</t>
        </is>
      </c>
      <c r="K105" s="14" t="inlineStr">
        <is>
          <t>PRS-05</t>
        </is>
      </c>
      <c r="L105" s="14" t="inlineStr">
        <is>
          <t>Pass</t>
        </is>
      </c>
      <c r="M105" s="19" t="inlineStr">
        <is>
          <t>Not run</t>
        </is>
      </c>
      <c r="N105" s="19" t="inlineStr"/>
      <c r="O105" s="19" t="inlineStr"/>
      <c r="P105" s="20" t="inlineStr"/>
      <c r="Q105" s="19" t="inlineStr"/>
      <c r="R105" s="14" t="inlineStr">
        <is>
          <t>21 Oct 2026</t>
        </is>
      </c>
      <c r="S105" s="14" t="inlineStr">
        <is>
          <t>21 Oct 2026</t>
        </is>
      </c>
    </row>
    <row r="106">
      <c r="A106" s="16" t="inlineStr">
        <is>
          <t>TC-PRS-06</t>
        </is>
      </c>
      <c r="B106" s="14" t="inlineStr">
        <is>
          <t>Academic presence</t>
        </is>
      </c>
      <c r="C106" s="18" t="inlineStr">
        <is>
          <t>Export</t>
        </is>
      </c>
      <c r="D106" s="14" t="inlineStr">
        <is>
          <t>HR Manager</t>
        </is>
      </c>
      <c r="E106" s="18" t="inlineStr">
        <is>
          <t>A tab with data.</t>
        </is>
      </c>
      <c r="F106" s="18" t="inlineStr">
        <is>
          <t>Click Export (Excel CSV).</t>
        </is>
      </c>
      <c r="G106" s="18" t="inlineStr">
        <is>
          <t>—</t>
        </is>
      </c>
      <c r="H106" s="18" t="inlineStr">
        <is>
          <t>A CSV file downloads and opens in Excel with the same rows.</t>
        </is>
      </c>
      <c r="I106" s="14" t="inlineStr">
        <is>
          <t>Medium</t>
        </is>
      </c>
      <c r="J106" s="14" t="inlineStr">
        <is>
          <t>Functional</t>
        </is>
      </c>
      <c r="K106" s="14" t="inlineStr">
        <is>
          <t>PRS-06</t>
        </is>
      </c>
      <c r="L106" s="14" t="inlineStr">
        <is>
          <t>Pass</t>
        </is>
      </c>
      <c r="M106" s="19" t="inlineStr">
        <is>
          <t>Not run</t>
        </is>
      </c>
      <c r="N106" s="19" t="inlineStr"/>
      <c r="O106" s="19" t="inlineStr"/>
      <c r="P106" s="20" t="inlineStr"/>
      <c r="Q106" s="19" t="inlineStr"/>
      <c r="R106" s="14" t="inlineStr">
        <is>
          <t>21 Oct 2026</t>
        </is>
      </c>
      <c r="S106" s="14" t="inlineStr">
        <is>
          <t>21 Oct 2026</t>
        </is>
      </c>
    </row>
    <row r="107">
      <c r="A107" s="16" t="inlineStr">
        <is>
          <t>TC-PRS-07</t>
        </is>
      </c>
      <c r="B107" s="14" t="inlineStr">
        <is>
          <t>Academic presence</t>
        </is>
      </c>
      <c r="C107" s="18" t="inlineStr">
        <is>
          <t>Holiday and exam days</t>
        </is>
      </c>
      <c r="D107" s="14" t="inlineStr">
        <is>
          <t>HR Manager</t>
        </is>
      </c>
      <c r="E107" s="18" t="inlineStr">
        <is>
          <t>Academic Holiday List set; an exam period in the academic calendar.</t>
        </is>
      </c>
      <c r="F107" s="18" t="inlineStr">
        <is>
          <t>Open Faculty Schedules over a holiday or exam week.</t>
        </is>
      </c>
      <c r="G107" s="18" t="inlineStr">
        <is>
          <t>—</t>
        </is>
      </c>
      <c r="H107" s="18" t="inlineStr">
        <is>
          <t>No regular sessions on those days; the skipped dates are listed.</t>
        </is>
      </c>
      <c r="I107" s="14" t="inlineStr">
        <is>
          <t>Medium</t>
        </is>
      </c>
      <c r="J107" s="14" t="inlineStr">
        <is>
          <t>Functional</t>
        </is>
      </c>
      <c r="K107" s="14" t="inlineStr">
        <is>
          <t>unit/manual</t>
        </is>
      </c>
      <c r="L107" s="14" t="inlineStr">
        <is>
          <t>Unit test</t>
        </is>
      </c>
      <c r="M107" s="19" t="inlineStr">
        <is>
          <t>Not run</t>
        </is>
      </c>
      <c r="N107" s="19" t="inlineStr"/>
      <c r="O107" s="19" t="inlineStr"/>
      <c r="P107" s="20" t="inlineStr"/>
      <c r="Q107" s="19" t="inlineStr"/>
      <c r="R107" s="14" t="inlineStr">
        <is>
          <t>21 Oct 2026</t>
        </is>
      </c>
      <c r="S107" s="14" t="inlineStr">
        <is>
          <t>21 Oct 2026</t>
        </is>
      </c>
    </row>
    <row r="108">
      <c r="A108" s="16" t="inlineStr">
        <is>
          <t>TC-PRS-08</t>
        </is>
      </c>
      <c r="B108" s="14" t="inlineStr">
        <is>
          <t>Academic presence</t>
        </is>
      </c>
      <c r="C108" s="18" t="inlineStr">
        <is>
          <t>Cut-off time setting</t>
        </is>
      </c>
      <c r="D108" s="14" t="inlineStr">
        <is>
          <t>HR Manager</t>
        </is>
      </c>
      <c r="E108" s="18" t="inlineStr">
        <is>
          <t>—</t>
        </is>
      </c>
      <c r="F108" s="18" t="inlineStr">
        <is>
          <t>HR Settings -&gt; Faculty After-hours Cut-off = 15:00; reopen Faculty After 4 PM.</t>
        </is>
      </c>
      <c r="G108" s="18" t="inlineStr">
        <is>
          <t>15:00</t>
        </is>
      </c>
      <c r="H108" s="18" t="inlineStr">
        <is>
          <t>List uses the new time.</t>
        </is>
      </c>
      <c r="I108" s="14" t="inlineStr">
        <is>
          <t>Low</t>
        </is>
      </c>
      <c r="J108" s="14" t="inlineStr">
        <is>
          <t>Functional</t>
        </is>
      </c>
      <c r="K108" s="14" t="inlineStr">
        <is>
          <t>—</t>
        </is>
      </c>
      <c r="L108" s="14" t="inlineStr">
        <is>
          <t>Manual only</t>
        </is>
      </c>
      <c r="M108" s="19" t="inlineStr">
        <is>
          <t>Not run</t>
        </is>
      </c>
      <c r="N108" s="19" t="inlineStr"/>
      <c r="O108" s="19" t="inlineStr"/>
      <c r="P108" s="20" t="inlineStr"/>
      <c r="Q108" s="19" t="inlineStr"/>
      <c r="R108" s="14" t="inlineStr">
        <is>
          <t>21 Oct 2026</t>
        </is>
      </c>
      <c r="S108" s="14" t="inlineStr">
        <is>
          <t>21 Oct 2026</t>
        </is>
      </c>
    </row>
    <row r="109">
      <c r="A109" s="16" t="inlineStr">
        <is>
          <t>TC-JM-01</t>
        </is>
      </c>
      <c r="B109" s="14" t="inlineStr">
        <is>
          <t>Jameah (Ministry)</t>
        </is>
      </c>
      <c r="C109" s="18" t="inlineStr">
        <is>
          <t>Jameah Data Check page</t>
        </is>
      </c>
      <c r="D109" s="14" t="inlineStr">
        <is>
          <t>HR Manager</t>
        </is>
      </c>
      <c r="E109" s="18" t="inlineStr">
        <is>
          <t>—</t>
        </is>
      </c>
      <c r="F109" s="18" t="inlineStr">
        <is>
          <t>HR Dashboard -&gt; Jameah Data Check.</t>
        </is>
      </c>
      <c r="G109" s="18" t="inlineStr">
        <is>
          <t>—</t>
        </is>
      </c>
      <c r="H109" s="18" t="inlineStr">
        <is>
          <t>Cards show 0 invalid Ministry codes; table lists 15 views with row counts; settings to fill and values to review are listed.</t>
        </is>
      </c>
      <c r="I109" s="14" t="inlineStr">
        <is>
          <t>Critical</t>
        </is>
      </c>
      <c r="J109" s="14" t="inlineStr">
        <is>
          <t>Functional</t>
        </is>
      </c>
      <c r="K109" s="14" t="inlineStr">
        <is>
          <t>JM-01</t>
        </is>
      </c>
      <c r="L109" s="14" t="inlineStr">
        <is>
          <t>Pass</t>
        </is>
      </c>
      <c r="M109" s="19" t="inlineStr">
        <is>
          <t>Not run</t>
        </is>
      </c>
      <c r="N109" s="19" t="inlineStr"/>
      <c r="O109" s="19" t="inlineStr"/>
      <c r="P109" s="20" t="inlineStr"/>
      <c r="Q109" s="19" t="inlineStr"/>
      <c r="R109" s="14" t="inlineStr">
        <is>
          <t>21 Oct 2026</t>
        </is>
      </c>
      <c r="S109" s="14" t="inlineStr">
        <is>
          <t>21 Oct 2026</t>
        </is>
      </c>
    </row>
    <row r="110">
      <c r="A110" s="16" t="inlineStr">
        <is>
          <t>TC-JM-02</t>
        </is>
      </c>
      <c r="B110" s="14" t="inlineStr">
        <is>
          <t>Jameah (Ministry)</t>
        </is>
      </c>
      <c r="C110" s="18" t="inlineStr">
        <is>
          <t>Jameah Settings pickers</t>
        </is>
      </c>
      <c r="D110" s="14" t="inlineStr">
        <is>
          <t>Academic Affairs / Education Manager</t>
        </is>
      </c>
      <c r="E110" s="18" t="inlineStr">
        <is>
          <t>—</t>
        </is>
      </c>
      <c r="F110" s="18" t="inlineStr">
        <is>
          <t>Open Jameah Settings; open the College picker.</t>
        </is>
      </c>
      <c r="G110" s="18" t="inlineStr">
        <is>
          <t>—</t>
        </is>
      </c>
      <c r="H110" s="18" t="inlineStr">
        <is>
          <t>Only College Coding Guide codes are offered.</t>
        </is>
      </c>
      <c r="I110" s="14" t="inlineStr">
        <is>
          <t>High</t>
        </is>
      </c>
      <c r="J110" s="14" t="inlineStr">
        <is>
          <t>Functional</t>
        </is>
      </c>
      <c r="K110" s="14" t="inlineStr">
        <is>
          <t>JM-02</t>
        </is>
      </c>
      <c r="L110" s="14" t="inlineStr">
        <is>
          <t>Pass</t>
        </is>
      </c>
      <c r="M110" s="19" t="inlineStr">
        <is>
          <t>Not run</t>
        </is>
      </c>
      <c r="N110" s="19" t="inlineStr"/>
      <c r="O110" s="19" t="inlineStr"/>
      <c r="P110" s="20" t="inlineStr"/>
      <c r="Q110" s="19" t="inlineStr"/>
      <c r="R110" s="14" t="inlineStr">
        <is>
          <t>21 Oct 2026</t>
        </is>
      </c>
      <c r="S110" s="14" t="inlineStr">
        <is>
          <t>21 Oct 2026</t>
        </is>
      </c>
    </row>
    <row r="111">
      <c r="A111" s="16" t="inlineStr">
        <is>
          <t>TC-JM-03</t>
        </is>
      </c>
      <c r="B111" s="14" t="inlineStr">
        <is>
          <t>Jameah (Ministry)</t>
        </is>
      </c>
      <c r="C111" s="18" t="inlineStr">
        <is>
          <t>Fill a setting and see it in the views</t>
        </is>
      </c>
      <c r="D111" s="14" t="inlineStr">
        <is>
          <t>Academic Affairs / Education Manager</t>
        </is>
      </c>
      <c r="E111" s="18" t="inlineStr">
        <is>
          <t>Decision on the college code (DEC-02).</t>
        </is>
      </c>
      <c r="F111" s="18" t="inlineStr">
        <is>
          <t>Set College; Save; reopen Jameah Data Check.</t>
        </is>
      </c>
      <c r="G111" s="18" t="inlineStr">
        <is>
          <t>College code</t>
        </is>
      </c>
      <c r="H111" s="18" t="inlineStr">
        <is>
          <t>The AdmissionCollegeId / CurrentCollegeId gap disappears.</t>
        </is>
      </c>
      <c r="I111" s="14" t="inlineStr">
        <is>
          <t>High</t>
        </is>
      </c>
      <c r="J111" s="14" t="inlineStr">
        <is>
          <t>Functional</t>
        </is>
      </c>
      <c r="K111" s="14" t="inlineStr">
        <is>
          <t>—</t>
        </is>
      </c>
      <c r="L111" s="14" t="inlineStr">
        <is>
          <t>Manual only</t>
        </is>
      </c>
      <c r="M111" s="19" t="inlineStr">
        <is>
          <t>Not run</t>
        </is>
      </c>
      <c r="N111" s="19" t="inlineStr"/>
      <c r="O111" s="19" t="inlineStr"/>
      <c r="P111" s="20" t="inlineStr"/>
      <c r="Q111" s="19" t="inlineStr"/>
      <c r="R111" s="14" t="inlineStr">
        <is>
          <t>21 Oct 2026</t>
        </is>
      </c>
      <c r="S111" s="14" t="inlineStr">
        <is>
          <t>21 Oct 2026</t>
        </is>
      </c>
    </row>
    <row r="112">
      <c r="A112" s="16" t="inlineStr">
        <is>
          <t>TC-JM-04</t>
        </is>
      </c>
      <c r="B112" s="14" t="inlineStr">
        <is>
          <t>Jameah (Ministry)</t>
        </is>
      </c>
      <c r="C112" s="18" t="inlineStr">
        <is>
          <t>Map a value in the Code Map</t>
        </is>
      </c>
      <c r="D112" s="14" t="inlineStr">
        <is>
          <t>Academic Affairs / Education Manager</t>
        </is>
      </c>
      <c r="E112" s="18" t="inlineStr">
        <is>
          <t>A 'Needs Review' row.</t>
        </is>
      </c>
      <c r="F112" s="18" t="inlineStr">
        <is>
          <t>Open it, pick the Ministry code, Status = Verified, Save.</t>
        </is>
      </c>
      <c r="G112" s="18" t="inlineStr">
        <is>
          <t>e.g. Internship -&gt; 0</t>
        </is>
      </c>
      <c r="H112" s="18" t="inlineStr">
        <is>
          <t>Saved; 'Matched By' becomes Manual; the Data Check gap shrinks.</t>
        </is>
      </c>
      <c r="I112" s="14" t="inlineStr">
        <is>
          <t>High</t>
        </is>
      </c>
      <c r="J112" s="14" t="inlineStr">
        <is>
          <t>Functional</t>
        </is>
      </c>
      <c r="K112" s="14" t="inlineStr">
        <is>
          <t>JM-03</t>
        </is>
      </c>
      <c r="L112" s="14" t="inlineStr">
        <is>
          <t>Pass</t>
        </is>
      </c>
      <c r="M112" s="19" t="inlineStr">
        <is>
          <t>Not run</t>
        </is>
      </c>
      <c r="N112" s="19" t="inlineStr"/>
      <c r="O112" s="19" t="inlineStr"/>
      <c r="P112" s="20" t="inlineStr"/>
      <c r="Q112" s="19" t="inlineStr"/>
      <c r="R112" s="14" t="inlineStr">
        <is>
          <t>21 Oct 2026</t>
        </is>
      </c>
      <c r="S112" s="14" t="inlineStr">
        <is>
          <t>21 Oct 2026</t>
        </is>
      </c>
    </row>
    <row r="113">
      <c r="A113" s="16" t="inlineStr">
        <is>
          <t>TC-JM-05</t>
        </is>
      </c>
      <c r="B113" s="14" t="inlineStr">
        <is>
          <t>Jameah (Ministry)</t>
        </is>
      </c>
      <c r="C113" s="18" t="inlineStr">
        <is>
          <t>Code Map refuses a code from another list</t>
        </is>
      </c>
      <c r="D113" s="14" t="inlineStr">
        <is>
          <t>Academic Affairs / Education Manager</t>
        </is>
      </c>
      <c r="E113" s="18" t="inlineStr">
        <is>
          <t>—</t>
        </is>
      </c>
      <c r="F113" s="18" t="inlineStr">
        <is>
          <t>Try to save a Religion row with a Gender code.</t>
        </is>
      </c>
      <c r="G113" s="18" t="inlineStr">
        <is>
          <t>—</t>
        </is>
      </c>
      <c r="H113" s="18" t="inlineStr">
        <is>
          <t>Refused with a clear message.</t>
        </is>
      </c>
      <c r="I113" s="14" t="inlineStr">
        <is>
          <t>Medium</t>
        </is>
      </c>
      <c r="J113" s="14" t="inlineStr">
        <is>
          <t>Negative</t>
        </is>
      </c>
      <c r="K113" s="14" t="inlineStr">
        <is>
          <t>unit test</t>
        </is>
      </c>
      <c r="L113" s="14" t="inlineStr">
        <is>
          <t>Unit test</t>
        </is>
      </c>
      <c r="M113" s="19" t="inlineStr">
        <is>
          <t>Not run</t>
        </is>
      </c>
      <c r="N113" s="19" t="inlineStr"/>
      <c r="O113" s="19" t="inlineStr"/>
      <c r="P113" s="20" t="inlineStr"/>
      <c r="Q113" s="19" t="inlineStr"/>
      <c r="R113" s="14" t="inlineStr">
        <is>
          <t>21 Oct 2026</t>
        </is>
      </c>
      <c r="S113" s="14" t="inlineStr">
        <is>
          <t>21 Oct 2026</t>
        </is>
      </c>
    </row>
    <row r="114">
      <c r="A114" s="16" t="inlineStr">
        <is>
          <t>TC-JM-06</t>
        </is>
      </c>
      <c r="B114" s="14" t="inlineStr">
        <is>
          <t>Jameah (Ministry)</t>
        </is>
      </c>
      <c r="C114" s="18" t="inlineStr">
        <is>
          <t>Refresh academic figures</t>
        </is>
      </c>
      <c r="D114" s="14" t="inlineStr">
        <is>
          <t>HR Manager</t>
        </is>
      </c>
      <c r="E114" s="18" t="inlineStr">
        <is>
          <t>—</t>
        </is>
      </c>
      <c r="F114" s="18" t="inlineStr">
        <is>
          <t>Jameah Data Check -&gt; Refresh Academic Figures; wait a minute; Refresh.</t>
        </is>
      </c>
      <c r="G114" s="18" t="inlineStr">
        <is>
          <t>—</t>
        </is>
      </c>
      <c r="H114" s="18" t="inlineStr">
        <is>
          <t>'Last refreshed' time updates.</t>
        </is>
      </c>
      <c r="I114" s="14" t="inlineStr">
        <is>
          <t>Medium</t>
        </is>
      </c>
      <c r="J114" s="14" t="inlineStr">
        <is>
          <t>Functional</t>
        </is>
      </c>
      <c r="K114" s="14" t="inlineStr">
        <is>
          <t>—</t>
        </is>
      </c>
      <c r="L114" s="14" t="inlineStr">
        <is>
          <t>Manual only</t>
        </is>
      </c>
      <c r="M114" s="19" t="inlineStr">
        <is>
          <t>Not run</t>
        </is>
      </c>
      <c r="N114" s="19" t="inlineStr"/>
      <c r="O114" s="19" t="inlineStr"/>
      <c r="P114" s="20" t="inlineStr"/>
      <c r="Q114" s="19" t="inlineStr"/>
      <c r="R114" s="14" t="inlineStr">
        <is>
          <t>21 Oct 2026</t>
        </is>
      </c>
      <c r="S114" s="14" t="inlineStr">
        <is>
          <t>21 Oct 2026</t>
        </is>
      </c>
    </row>
    <row r="115">
      <c r="A115" s="16" t="inlineStr">
        <is>
          <t>TC-JM-07</t>
        </is>
      </c>
      <c r="B115" s="14" t="inlineStr">
        <is>
          <t>Jameah (Ministry)</t>
        </is>
      </c>
      <c r="C115" s="18" t="inlineStr">
        <is>
          <t>Employee data reaches the Employee views</t>
        </is>
      </c>
      <c r="D115" s="14" t="inlineStr">
        <is>
          <t>HR Manager</t>
        </is>
      </c>
      <c r="E115" s="18" t="inlineStr">
        <is>
          <t>A non-teaching employee of Al Riyada College with Ministry fields filled.</t>
        </is>
      </c>
      <c r="F115" s="18" t="inlineStr">
        <is>
          <t>Open their Ministry (Jameah) Data preview.</t>
        </is>
      </c>
      <c r="G115" s="18" t="inlineStr">
        <is>
          <t>—</t>
        </is>
      </c>
      <c r="H115" s="18" t="inlineStr">
        <is>
          <t>Codes match the form (e.g. Nationality 101, Identity Type 01); phones are digits only.</t>
        </is>
      </c>
      <c r="I115" s="14" t="inlineStr">
        <is>
          <t>Critical</t>
        </is>
      </c>
      <c r="J115" s="14" t="inlineStr">
        <is>
          <t>Functional</t>
        </is>
      </c>
      <c r="K115" s="14" t="inlineStr">
        <is>
          <t>REC-06</t>
        </is>
      </c>
      <c r="L115" s="14" t="inlineStr">
        <is>
          <t>Pass</t>
        </is>
      </c>
      <c r="M115" s="19" t="inlineStr">
        <is>
          <t>Not run</t>
        </is>
      </c>
      <c r="N115" s="19" t="inlineStr"/>
      <c r="O115" s="19" t="inlineStr"/>
      <c r="P115" s="20" t="inlineStr"/>
      <c r="Q115" s="19" t="inlineStr"/>
      <c r="R115" s="14" t="inlineStr">
        <is>
          <t>21 Oct 2026</t>
        </is>
      </c>
      <c r="S115" s="14" t="inlineStr">
        <is>
          <t>21 Oct 2026</t>
        </is>
      </c>
    </row>
    <row r="116">
      <c r="A116" s="16" t="inlineStr">
        <is>
          <t>TC-JM-10</t>
        </is>
      </c>
      <c r="B116" s="14" t="inlineStr">
        <is>
          <t>Jameah (Ministry)</t>
        </is>
      </c>
      <c r="C116" s="18" t="inlineStr">
        <is>
          <t>Ministry GPA and hours equal the student's transcript</t>
        </is>
      </c>
      <c r="D116" s="14" t="inlineStr">
        <is>
          <t>Academic Affairs / Education Manager</t>
        </is>
      </c>
      <c r="E116" s="18" t="inlineStr">
        <is>
          <t>Academic figures refreshed (TC-JM-06).</t>
        </is>
      </c>
      <c r="F116" s="18" t="inlineStr">
        <is>
          <t>Pick 10 students (include a student who retook a failed course). Compare GPA, Required, Passed and Remaining hours in the Ministry data with the student's My Transcript page.</t>
        </is>
      </c>
      <c r="G116" s="18" t="inlineStr">
        <is>
          <t>10 students</t>
        </is>
      </c>
      <c r="H116" s="18" t="inlineStr">
        <is>
          <t>All four figures are identical for every student.</t>
        </is>
      </c>
      <c r="I116" s="14" t="inlineStr">
        <is>
          <t>Critical</t>
        </is>
      </c>
      <c r="J116" s="14" t="inlineStr">
        <is>
          <t>Data</t>
        </is>
      </c>
      <c r="K116" s="14" t="inlineStr">
        <is>
          <t>verify.run</t>
        </is>
      </c>
      <c r="L116" s="14" t="inlineStr">
        <is>
          <t>Pass</t>
        </is>
      </c>
      <c r="M116" s="19" t="inlineStr">
        <is>
          <t>Not run</t>
        </is>
      </c>
      <c r="N116" s="19" t="inlineStr"/>
      <c r="O116" s="19" t="inlineStr"/>
      <c r="P116" s="20" t="inlineStr"/>
      <c r="Q116" s="19" t="inlineStr"/>
      <c r="R116" s="14" t="inlineStr">
        <is>
          <t>21 Oct 2026</t>
        </is>
      </c>
      <c r="S116" s="14" t="inlineStr">
        <is>
          <t>21 Oct 2026</t>
        </is>
      </c>
    </row>
    <row r="117">
      <c r="A117" s="16" t="inlineStr">
        <is>
          <t>TC-JM-08</t>
        </is>
      </c>
      <c r="B117" s="14" t="inlineStr">
        <is>
          <t>Jameah (Ministry)</t>
        </is>
      </c>
      <c r="C117" s="18" t="inlineStr">
        <is>
          <t>Full value-by-value check (developer)</t>
        </is>
      </c>
      <c r="D117" s="14" t="inlineStr">
        <is>
          <t>Developer</t>
        </is>
      </c>
      <c r="E117" s="18" t="inlineStr">
        <is>
          <t>Server access.</t>
        </is>
      </c>
      <c r="F117" s="18" t="inlineStr">
        <is>
          <t>Run: bench --site &lt;site&gt; execute medical_hrms.jameah.verify.run</t>
        </is>
      </c>
      <c r="G117" s="18" t="inlineStr">
        <is>
          <t>—</t>
        </is>
      </c>
      <c r="H117" s="18" t="inlineStr">
        <is>
          <t>Every view prints OK (0 missing, 0 extra, 0 mismatched, 0 invalid codes).</t>
        </is>
      </c>
      <c r="I117" s="14" t="inlineStr">
        <is>
          <t>Critical</t>
        </is>
      </c>
      <c r="J117" s="14" t="inlineStr">
        <is>
          <t>Data</t>
        </is>
      </c>
      <c r="K117" s="14" t="inlineStr">
        <is>
          <t>verify.run</t>
        </is>
      </c>
      <c r="L117" s="14" t="inlineStr">
        <is>
          <t>Pass</t>
        </is>
      </c>
      <c r="M117" s="19" t="inlineStr">
        <is>
          <t>Not run</t>
        </is>
      </c>
      <c r="N117" s="19" t="inlineStr"/>
      <c r="O117" s="19" t="inlineStr"/>
      <c r="P117" s="20" t="inlineStr"/>
      <c r="Q117" s="19" t="inlineStr"/>
      <c r="R117" s="14" t="inlineStr">
        <is>
          <t>21 Oct 2026</t>
        </is>
      </c>
      <c r="S117" s="14" t="inlineStr">
        <is>
          <t>21 Oct 2026</t>
        </is>
      </c>
    </row>
    <row r="118">
      <c r="A118" s="16" t="inlineStr">
        <is>
          <t>TC-JM-09</t>
        </is>
      </c>
      <c r="B118" s="14" t="inlineStr">
        <is>
          <t>Jameah (Ministry)</t>
        </is>
      </c>
      <c r="C118" s="18" t="inlineStr">
        <is>
          <t>Ministry read-only account</t>
        </is>
      </c>
      <c r="D118" s="14" t="inlineStr">
        <is>
          <t>Server admin</t>
        </is>
      </c>
      <c r="E118" s="18" t="inlineStr">
        <is>
          <t>Account created with the grant statements.</t>
        </is>
      </c>
      <c r="F118" s="18" t="inlineStr">
        <is>
          <t>Connect with that account; SELECT from a jameah view; try SELECT from tabEmployee.</t>
        </is>
      </c>
      <c r="G118" s="18" t="inlineStr">
        <is>
          <t>—</t>
        </is>
      </c>
      <c r="H118" s="18" t="inlineStr">
        <is>
          <t>Views readable; ERP tables refused.</t>
        </is>
      </c>
      <c r="I118" s="14" t="inlineStr">
        <is>
          <t>High</t>
        </is>
      </c>
      <c r="J118" s="14" t="inlineStr">
        <is>
          <t>Security</t>
        </is>
      </c>
      <c r="K118" s="14" t="inlineStr">
        <is>
          <t>—</t>
        </is>
      </c>
      <c r="L118" s="14" t="inlineStr">
        <is>
          <t>Manual only</t>
        </is>
      </c>
      <c r="M118" s="19" t="inlineStr">
        <is>
          <t>Not run</t>
        </is>
      </c>
      <c r="N118" s="19" t="inlineStr"/>
      <c r="O118" s="19" t="inlineStr"/>
      <c r="P118" s="20" t="inlineStr"/>
      <c r="Q118" s="19" t="inlineStr"/>
      <c r="R118" s="14" t="inlineStr">
        <is>
          <t>21 Oct 2026</t>
        </is>
      </c>
      <c r="S118" s="14" t="inlineStr">
        <is>
          <t>21 Oct 2026</t>
        </is>
      </c>
    </row>
    <row r="119">
      <c r="A119" s="16" t="inlineStr">
        <is>
          <t>TC-JM-11</t>
        </is>
      </c>
      <c r="B119" s="14" t="inlineStr">
        <is>
          <t>Jameah (Ministry)</t>
        </is>
      </c>
      <c r="C119" s="18" t="inlineStr">
        <is>
          <t>Faculty views on the Data Check page</t>
        </is>
      </c>
      <c r="D119" s="14" t="inlineStr">
        <is>
          <t>HR Manager</t>
        </is>
      </c>
      <c r="E119" s="18" t="inlineStr">
        <is>
          <t>—</t>
        </is>
      </c>
      <c r="F119" s="18" t="inlineStr">
        <is>
          <t>Open Jameah Data Check and look at the Views table.</t>
        </is>
      </c>
      <c r="G119" s="18" t="inlineStr">
        <is>
          <t>—</t>
        </is>
      </c>
      <c r="H119" s="18" t="inlineStr">
        <is>
          <t>23 views: 5 jameahEmployee*, 8 jameahFaculty*, 10 jameahStudent*; 0 invalid codes.</t>
        </is>
      </c>
      <c r="I119" s="14" t="inlineStr">
        <is>
          <t>High</t>
        </is>
      </c>
      <c r="J119" s="14" t="inlineStr">
        <is>
          <t>Functional</t>
        </is>
      </c>
      <c r="K119" s="14" t="inlineStr">
        <is>
          <t>JM-01</t>
        </is>
      </c>
      <c r="L119" s="14" t="inlineStr">
        <is>
          <t>Pass</t>
        </is>
      </c>
      <c r="M119" s="19" t="inlineStr">
        <is>
          <t>Not run</t>
        </is>
      </c>
      <c r="N119" s="19" t="inlineStr"/>
      <c r="O119" s="19" t="inlineStr"/>
      <c r="P119" s="20" t="inlineStr"/>
      <c r="Q119" s="19" t="inlineStr"/>
      <c r="R119" s="14" t="inlineStr">
        <is>
          <t>21 Oct 2026</t>
        </is>
      </c>
      <c r="S119" s="14" t="inlineStr">
        <is>
          <t>21 Oct 2026</t>
        </is>
      </c>
    </row>
    <row r="120">
      <c r="A120" s="16" t="inlineStr">
        <is>
          <t>TC-JM-12</t>
        </is>
      </c>
      <c r="B120" s="14" t="inlineStr">
        <is>
          <t>Jameah (Ministry)</t>
        </is>
      </c>
      <c r="C120" s="18" t="inlineStr">
        <is>
          <t>A teacher is sent once, as Faculty</t>
        </is>
      </c>
      <c r="D120" s="14" t="inlineStr">
        <is>
          <t>HR Manager</t>
        </is>
      </c>
      <c r="E120" s="18" t="inlineStr">
        <is>
          <t>An Employee linked to an Instructor (or with the Instructor's e-mail).</t>
        </is>
      </c>
      <c r="F120" s="18" t="inlineStr">
        <is>
          <t>1. Employee form &gt; View &gt; Ministry (Jameah) Data.
2. Developer: query jameahFacultyPersonalInfo for that Instructor.</t>
        </is>
      </c>
      <c r="G120" s="18" t="inlineStr">
        <is>
          <t>—</t>
        </is>
      </c>
      <c r="H120" s="18" t="inlineStr">
        <is>
          <t>1 says 'Not sent as an Employee ... sent as Faculty'. 2 shows the person's ID number and nationality (taken from the Employee record when the Instructor has none).</t>
        </is>
      </c>
      <c r="I120" s="14" t="inlineStr">
        <is>
          <t>Critical</t>
        </is>
      </c>
      <c r="J120" s="14" t="inlineStr">
        <is>
          <t>Data</t>
        </is>
      </c>
      <c r="K120" s="14" t="inlineStr">
        <is>
          <t>unit test</t>
        </is>
      </c>
      <c r="L120" s="14" t="inlineStr">
        <is>
          <t>Unit test</t>
        </is>
      </c>
      <c r="M120" s="19" t="inlineStr">
        <is>
          <t>Not run</t>
        </is>
      </c>
      <c r="N120" s="19" t="inlineStr"/>
      <c r="O120" s="19" t="inlineStr"/>
      <c r="P120" s="20" t="inlineStr"/>
      <c r="Q120" s="19" t="inlineStr"/>
      <c r="R120" s="14" t="inlineStr">
        <is>
          <t>21 Oct 2026</t>
        </is>
      </c>
      <c r="S120" s="14" t="inlineStr">
        <is>
          <t>21 Oct 2026</t>
        </is>
      </c>
    </row>
    <row r="121">
      <c r="A121" s="16" t="inlineStr">
        <is>
          <t>TC-JM-13</t>
        </is>
      </c>
      <c r="B121" s="14" t="inlineStr">
        <is>
          <t>Jameah (Ministry)</t>
        </is>
      </c>
      <c r="C121" s="18" t="inlineStr">
        <is>
          <t>Faculty status and contract codes</t>
        </is>
      </c>
      <c r="D121" s="14" t="inlineStr">
        <is>
          <t>Academic Affairs / Education Manager</t>
        </is>
      </c>
      <c r="E121" s="18" t="inlineStr">
        <is>
          <t>Code Map rows for Faculty Status 'Active' and Contract Type 'Full Time' are Needs Review (DEC-13).</t>
        </is>
      </c>
      <c r="F121" s="18" t="inlineStr">
        <is>
          <t>1. Open each row, pick the Ministry code, Status = Verified.
2. Refresh Academic Figures / reopen Jameah Data Check.</t>
        </is>
      </c>
      <c r="G121" s="18" t="inlineStr">
        <is>
          <t>—</t>
        </is>
      </c>
      <c r="H121" s="18" t="inlineStr">
        <is>
          <t>Faculty Academic Experience sends the chosen codes for current positions; before that they are empty.</t>
        </is>
      </c>
      <c r="I121" s="14" t="inlineStr">
        <is>
          <t>Medium</t>
        </is>
      </c>
      <c r="J121" s="14" t="inlineStr">
        <is>
          <t>Data</t>
        </is>
      </c>
      <c r="K121" s="14" t="inlineStr">
        <is>
          <t>—</t>
        </is>
      </c>
      <c r="L121" s="14" t="inlineStr">
        <is>
          <t>Manual only</t>
        </is>
      </c>
      <c r="M121" s="19" t="inlineStr">
        <is>
          <t>Not run</t>
        </is>
      </c>
      <c r="N121" s="19" t="inlineStr"/>
      <c r="O121" s="19" t="inlineStr"/>
      <c r="P121" s="20" t="inlineStr"/>
      <c r="Q121" s="19" t="inlineStr"/>
      <c r="R121" s="14" t="inlineStr">
        <is>
          <t>21 Oct 2026</t>
        </is>
      </c>
      <c r="S121" s="14" t="inlineStr">
        <is>
          <t>21 Oct 2026</t>
        </is>
      </c>
    </row>
    <row r="122">
      <c r="A122" s="16" t="inlineStr">
        <is>
          <t>TC-ERR-01</t>
        </is>
      </c>
      <c r="B122" s="14" t="inlineStr">
        <is>
          <t>Errors &amp; monitoring</t>
        </is>
      </c>
      <c r="C122" s="18" t="inlineStr">
        <is>
          <t>Error Log after each test day</t>
        </is>
      </c>
      <c r="D122" s="14" t="inlineStr">
        <is>
          <t>Administrator</t>
        </is>
      </c>
      <c r="E122" s="18" t="inlineStr">
        <is>
          <t>—</t>
        </is>
      </c>
      <c r="F122" s="18" t="inlineStr">
        <is>
          <t>Open /app/error-log; sort by newest.</t>
        </is>
      </c>
      <c r="G122" s="18" t="inlineStr">
        <is>
          <t>—</t>
        </is>
      </c>
      <c r="H122" s="18" t="inlineStr">
        <is>
          <t>No new errors. Note any error's time, title and the user who triggered it in the Bug Report sheet.</t>
        </is>
      </c>
      <c r="I122" s="14" t="inlineStr">
        <is>
          <t>Critical</t>
        </is>
      </c>
      <c r="J122" s="14" t="inlineStr">
        <is>
          <t>Monitoring</t>
        </is>
      </c>
      <c r="K122" s="14" t="inlineStr">
        <is>
          <t>—</t>
        </is>
      </c>
      <c r="L122" s="14" t="inlineStr">
        <is>
          <t>Manual only</t>
        </is>
      </c>
      <c r="M122" s="19" t="inlineStr">
        <is>
          <t>Not run</t>
        </is>
      </c>
      <c r="N122" s="19" t="inlineStr"/>
      <c r="O122" s="19" t="inlineStr"/>
      <c r="P122" s="20" t="inlineStr"/>
      <c r="Q122" s="19" t="inlineStr"/>
      <c r="R122" s="14" t="inlineStr">
        <is>
          <t>21 Oct 2026</t>
        </is>
      </c>
      <c r="S122" s="14" t="inlineStr">
        <is>
          <t>21 Oct 2026</t>
        </is>
      </c>
    </row>
    <row r="123">
      <c r="A123" s="16" t="inlineStr">
        <is>
          <t>TC-ERR-02</t>
        </is>
      </c>
      <c r="B123" s="14" t="inlineStr">
        <is>
          <t>Errors &amp; monitoring</t>
        </is>
      </c>
      <c r="C123" s="18" t="inlineStr">
        <is>
          <t>System e-mail works</t>
        </is>
      </c>
      <c r="D123" s="14" t="inlineStr">
        <is>
          <t>Administrator</t>
        </is>
      </c>
      <c r="E123" s="18" t="inlineStr">
        <is>
          <t>—</t>
        </is>
      </c>
      <c r="F123" s="18" t="inlineStr">
        <is>
          <t>Email Account 'Notifications' -&gt; send a test e-mail; then trigger a password reset for a test user.</t>
        </is>
      </c>
      <c r="G123" s="18" t="inlineStr">
        <is>
          <t>—</t>
        </is>
      </c>
      <c r="H123" s="18" t="inlineStr">
        <is>
          <t>E-mail arrives. No 'Failed to decrypt key' error in the Error Log.</t>
        </is>
      </c>
      <c r="I123" s="14" t="inlineStr">
        <is>
          <t>Critical</t>
        </is>
      </c>
      <c r="J123" s="14" t="inlineStr">
        <is>
          <t>Monitoring</t>
        </is>
      </c>
      <c r="K123" s="14" t="inlineStr">
        <is>
          <t>—</t>
        </is>
      </c>
      <c r="L123" s="14" t="inlineStr">
        <is>
          <t>Manual only</t>
        </is>
      </c>
      <c r="M123" s="19" t="inlineStr">
        <is>
          <t>Not run</t>
        </is>
      </c>
      <c r="N123" s="19" t="inlineStr"/>
      <c r="O123" s="19" t="inlineStr"/>
      <c r="P123" s="20" t="inlineStr"/>
      <c r="Q123" s="19" t="inlineStr"/>
      <c r="R123" s="14" t="inlineStr">
        <is>
          <t>21 Oct 2026</t>
        </is>
      </c>
      <c r="S123" s="14" t="inlineStr">
        <is>
          <t>21 Oct 2026</t>
        </is>
      </c>
    </row>
    <row r="124">
      <c r="A124" s="16" t="inlineStr">
        <is>
          <t>TC-ERR-03</t>
        </is>
      </c>
      <c r="B124" s="14" t="inlineStr">
        <is>
          <t>Errors &amp; monitoring</t>
        </is>
      </c>
      <c r="C124" s="18" t="inlineStr">
        <is>
          <t>Background jobs</t>
        </is>
      </c>
      <c r="D124" s="14" t="inlineStr">
        <is>
          <t>Administrator</t>
        </is>
      </c>
      <c r="E124" s="18" t="inlineStr">
        <is>
          <t>—</t>
        </is>
      </c>
      <c r="F124" s="18" t="inlineStr">
        <is>
          <t>Open Scheduled Job Log; filter Status = Failed.</t>
        </is>
      </c>
      <c r="G124" s="18" t="inlineStr">
        <is>
          <t>—</t>
        </is>
      </c>
      <c r="H124" s="18" t="inlineStr">
        <is>
          <t>No failed jobs (or each one reported).</t>
        </is>
      </c>
      <c r="I124" s="14" t="inlineStr">
        <is>
          <t>High</t>
        </is>
      </c>
      <c r="J124" s="14" t="inlineStr">
        <is>
          <t>Monitoring</t>
        </is>
      </c>
      <c r="K124" s="14" t="inlineStr">
        <is>
          <t>—</t>
        </is>
      </c>
      <c r="L124" s="14" t="inlineStr">
        <is>
          <t>Manual only</t>
        </is>
      </c>
      <c r="M124" s="19" t="inlineStr">
        <is>
          <t>Not run</t>
        </is>
      </c>
      <c r="N124" s="19" t="inlineStr"/>
      <c r="O124" s="19" t="inlineStr"/>
      <c r="P124" s="20" t="inlineStr"/>
      <c r="Q124" s="19" t="inlineStr"/>
      <c r="R124" s="14" t="inlineStr">
        <is>
          <t>21 Oct 2026</t>
        </is>
      </c>
      <c r="S124" s="14" t="inlineStr">
        <is>
          <t>21 Oct 2026</t>
        </is>
      </c>
    </row>
    <row r="125">
      <c r="A125" s="16" t="inlineStr">
        <is>
          <t>TC-ERR-04</t>
        </is>
      </c>
      <c r="B125" s="14" t="inlineStr">
        <is>
          <t>Errors &amp; monitoring</t>
        </is>
      </c>
      <c r="C125" s="18" t="inlineStr">
        <is>
          <t>Browser console during testing</t>
        </is>
      </c>
      <c r="D125" s="14" t="inlineStr">
        <is>
          <t>Any</t>
        </is>
      </c>
      <c r="E125" s="18" t="inlineStr">
        <is>
          <t>Chrome DevTools open (F12 -&gt; Console).</t>
        </is>
      </c>
      <c r="F125" s="18" t="inlineStr">
        <is>
          <t>Use the system as normal while the console is open.</t>
        </is>
      </c>
      <c r="G125" s="18" t="inlineStr">
        <is>
          <t>—</t>
        </is>
      </c>
      <c r="H125" s="18" t="inlineStr">
        <is>
          <t>No red errors. If one appears, screenshot the console and record the time and page.</t>
        </is>
      </c>
      <c r="I125" s="14" t="inlineStr">
        <is>
          <t>Medium</t>
        </is>
      </c>
      <c r="J125" s="14" t="inlineStr">
        <is>
          <t>Monitoring</t>
        </is>
      </c>
      <c r="K125" s="14" t="inlineStr">
        <is>
          <t>Error sweep SWP-01..04</t>
        </is>
      </c>
      <c r="L125" s="14" t="inlineStr">
        <is>
          <t>Pass</t>
        </is>
      </c>
      <c r="M125" s="19" t="inlineStr">
        <is>
          <t>Not run</t>
        </is>
      </c>
      <c r="N125" s="19" t="inlineStr"/>
      <c r="O125" s="19" t="inlineStr"/>
      <c r="P125" s="20" t="inlineStr"/>
      <c r="Q125" s="19" t="inlineStr"/>
      <c r="R125" s="14" t="inlineStr">
        <is>
          <t>21 Oct 2026</t>
        </is>
      </c>
      <c r="S125" s="14" t="inlineStr">
        <is>
          <t>21 Oct 2026</t>
        </is>
      </c>
    </row>
    <row r="126">
      <c r="A126" s="16" t="inlineStr">
        <is>
          <t>TC-ERR-05</t>
        </is>
      </c>
      <c r="B126" s="14" t="inlineStr">
        <is>
          <t>Errors &amp; monitoring</t>
        </is>
      </c>
      <c r="C126" s="18" t="inlineStr">
        <is>
          <t>Migrate output after deploying</t>
        </is>
      </c>
      <c r="D126" s="14" t="inlineStr">
        <is>
          <t>Administrator</t>
        </is>
      </c>
      <c r="E126" s="18" t="inlineStr">
        <is>
          <t>New branch pulled on the server.</t>
        </is>
      </c>
      <c r="F126" s="18" t="inlineStr">
        <is>
          <t>Run bench --site &lt;site&gt; migrate and read the output.</t>
        </is>
      </c>
      <c r="G126" s="18" t="inlineStr">
        <is>
          <t>—</t>
        </is>
      </c>
      <c r="H126" s="18" t="inlineStr">
        <is>
          <t>No errors. If it prints 'Kept (they hold data, check before removing by hand)', send that line to the developer.</t>
        </is>
      </c>
      <c r="I126" s="14" t="inlineStr">
        <is>
          <t>Medium</t>
        </is>
      </c>
      <c r="J126" s="14" t="inlineStr">
        <is>
          <t>Monitoring</t>
        </is>
      </c>
      <c r="K126" s="14" t="inlineStr">
        <is>
          <t>—</t>
        </is>
      </c>
      <c r="L126" s="14" t="inlineStr">
        <is>
          <t>Manual only</t>
        </is>
      </c>
      <c r="M126" s="19" t="inlineStr">
        <is>
          <t>Not run</t>
        </is>
      </c>
      <c r="N126" s="19" t="inlineStr"/>
      <c r="O126" s="19" t="inlineStr"/>
      <c r="P126" s="20" t="inlineStr"/>
      <c r="Q126" s="19" t="inlineStr"/>
      <c r="R126" s="14" t="inlineStr">
        <is>
          <t>21 Oct 2026</t>
        </is>
      </c>
      <c r="S126" s="14" t="inlineStr">
        <is>
          <t>21 Oct 2026</t>
        </is>
      </c>
    </row>
    <row r="127">
      <c r="A127" s="16" t="inlineStr">
        <is>
          <t>TC-ERR-06</t>
        </is>
      </c>
      <c r="B127" s="14" t="inlineStr">
        <is>
          <t>Errors &amp; monitoring</t>
        </is>
      </c>
      <c r="C127" s="18" t="inlineStr">
        <is>
          <t>Every Medical HRMS page and form opens</t>
        </is>
      </c>
      <c r="D127" s="14" t="inlineStr">
        <is>
          <t>HR Manager</t>
        </is>
      </c>
      <c r="E127" s="18" t="inlineStr">
        <is>
          <t>Logged in as HR Manager (then repeat as HR User).</t>
        </is>
      </c>
      <c r="F127" s="18" t="inlineStr">
        <is>
          <t>Open each Medical HRMS doctype list, its New form and its newest saved record; the four pages, the report and both workspaces.</t>
        </is>
      </c>
      <c r="G127" s="18" t="inlineStr">
        <is>
          <t>—</t>
        </is>
      </c>
      <c r="H127" s="18" t="inlineStr">
        <is>
          <t>Each opens; no red error, no 'Not permitted' for HR, no blank page.</t>
        </is>
      </c>
      <c r="I127" s="14" t="inlineStr">
        <is>
          <t>High</t>
        </is>
      </c>
      <c r="J127" s="14" t="inlineStr">
        <is>
          <t>Regression</t>
        </is>
      </c>
      <c r="K127" s="14" t="inlineStr">
        <is>
          <t>SWP-01/02</t>
        </is>
      </c>
      <c r="L127" s="14" t="inlineStr">
        <is>
          <t>Pass</t>
        </is>
      </c>
      <c r="M127" s="19" t="inlineStr">
        <is>
          <t>Not run</t>
        </is>
      </c>
      <c r="N127" s="19" t="inlineStr"/>
      <c r="O127" s="19" t="inlineStr"/>
      <c r="P127" s="20" t="inlineStr"/>
      <c r="Q127" s="19" t="inlineStr"/>
      <c r="R127" s="14" t="inlineStr">
        <is>
          <t>23 Oct 2026</t>
        </is>
      </c>
      <c r="S127" s="14" t="inlineStr">
        <is>
          <t>23 Oct 2026</t>
        </is>
      </c>
    </row>
    <row r="128">
      <c r="A128" s="16" t="inlineStr">
        <is>
          <t>TC-ERR-07</t>
        </is>
      </c>
      <c r="B128" s="14" t="inlineStr">
        <is>
          <t>Errors &amp; monitoring</t>
        </is>
      </c>
      <c r="C128" s="18" t="inlineStr">
        <is>
          <t>Employees' own request lists open</t>
        </is>
      </c>
      <c r="D128" s="14" t="inlineStr">
        <is>
          <t>Employee</t>
        </is>
      </c>
      <c r="E128" s="18" t="inlineStr">
        <is>
          <t>Logged in as an employee.</t>
        </is>
      </c>
      <c r="F128" s="18" t="inlineStr">
        <is>
          <t>Open the list of each self-service request type (Permission Request ... Employee Medical License) and the Employee Self Service workspace.</t>
        </is>
      </c>
      <c r="G128" s="18" t="inlineStr">
        <is>
          <t>—</t>
        </is>
      </c>
      <c r="H128" s="18" t="inlineStr">
        <is>
          <t>Each opens with only the employee's own records; no error.</t>
        </is>
      </c>
      <c r="I128" s="14" t="inlineStr">
        <is>
          <t>Medium</t>
        </is>
      </c>
      <c r="J128" s="14" t="inlineStr">
        <is>
          <t>Regression</t>
        </is>
      </c>
      <c r="K128" s="14" t="inlineStr">
        <is>
          <t>SWP-03</t>
        </is>
      </c>
      <c r="L128" s="14" t="inlineStr">
        <is>
          <t>Pass</t>
        </is>
      </c>
      <c r="M128" s="19" t="inlineStr">
        <is>
          <t>Not run</t>
        </is>
      </c>
      <c r="N128" s="19" t="inlineStr"/>
      <c r="O128" s="19" t="inlineStr"/>
      <c r="P128" s="20" t="inlineStr"/>
      <c r="Q128" s="19" t="inlineStr"/>
      <c r="R128" s="14" t="inlineStr">
        <is>
          <t>23 Oct 2026</t>
        </is>
      </c>
      <c r="S128" s="14" t="inlineStr">
        <is>
          <t>23 Oct 2026</t>
        </is>
      </c>
    </row>
    <row r="129">
      <c r="A129" s="16" t="inlineStr">
        <is>
          <t>TC-ERR-08</t>
        </is>
      </c>
      <c r="B129" s="14" t="inlineStr">
        <is>
          <t>Errors &amp; monitoring</t>
        </is>
      </c>
      <c r="C129" s="18" t="inlineStr">
        <is>
          <t>Every file of the app is valid</t>
        </is>
      </c>
      <c r="D129" s="14" t="inlineStr">
        <is>
          <t>Developer</t>
        </is>
      </c>
      <c r="E129" s="18" t="inlineStr">
        <is>
          <t>A checkout of develop.</t>
        </is>
      </c>
      <c r="F129" s="18" t="inlineStr">
        <is>
          <t>python3 tests/checks/files.py</t>
        </is>
      </c>
      <c r="G129" s="18" t="inlineStr">
        <is>
          <t>—</t>
        </is>
      </c>
      <c r="H129" s="18" t="inlineStr">
        <is>
          <t>PROBLEMS: 0 (Python compiles, JS parses, JSON loads, translations keep their placeholders, no stray files).</t>
        </is>
      </c>
      <c r="I129" s="14" t="inlineStr">
        <is>
          <t>High</t>
        </is>
      </c>
      <c r="J129" s="14" t="inlineStr">
        <is>
          <t>Regression</t>
        </is>
      </c>
      <c r="K129" s="14" t="inlineStr">
        <is>
          <t>tests/checks/files.py</t>
        </is>
      </c>
      <c r="L129" s="14" t="inlineStr">
        <is>
          <t>Pass</t>
        </is>
      </c>
      <c r="M129" s="19" t="inlineStr">
        <is>
          <t>Not run</t>
        </is>
      </c>
      <c r="N129" s="19" t="inlineStr"/>
      <c r="O129" s="19" t="inlineStr"/>
      <c r="P129" s="20" t="inlineStr"/>
      <c r="Q129" s="19" t="inlineStr"/>
      <c r="R129" s="14" t="inlineStr">
        <is>
          <t>23 Oct 2026</t>
        </is>
      </c>
      <c r="S129" s="14" t="inlineStr">
        <is>
          <t>23 Oct 2026</t>
        </is>
      </c>
    </row>
    <row r="130">
      <c r="A130" s="16" t="inlineStr">
        <is>
          <t>TC-ERR-09</t>
        </is>
      </c>
      <c r="B130" s="14" t="inlineStr">
        <is>
          <t>Errors &amp; monitoring</t>
        </is>
      </c>
      <c r="C130" s="18" t="inlineStr">
        <is>
          <t>Every hook, doctype and record is valid on the site</t>
        </is>
      </c>
      <c r="D130" s="14" t="inlineStr">
        <is>
          <t>Developer</t>
        </is>
      </c>
      <c r="E130" s="18" t="inlineStr">
        <is>
          <t>Site migrated.</t>
        </is>
      </c>
      <c r="F130" s="18" t="inlineStr">
        <is>
          <t>../../env/bin/python tests/e2e/fx.py tests/checks/site.py</t>
        </is>
      </c>
      <c r="G130" s="18" t="inlineStr">
        <is>
          <t>—</t>
        </is>
      </c>
      <c r="H130" s="18" t="inlineStr">
        <is>
          <t>PROBLEMS: 0; every hook, patch and asset resolves; saved records pass validation.</t>
        </is>
      </c>
      <c r="I130" s="14" t="inlineStr">
        <is>
          <t>High</t>
        </is>
      </c>
      <c r="J130" s="14" t="inlineStr">
        <is>
          <t>Regression</t>
        </is>
      </c>
      <c r="K130" s="14" t="inlineStr">
        <is>
          <t>tests/checks/site.py</t>
        </is>
      </c>
      <c r="L130" s="14" t="inlineStr">
        <is>
          <t>Pass</t>
        </is>
      </c>
      <c r="M130" s="19" t="inlineStr">
        <is>
          <t>Not run</t>
        </is>
      </c>
      <c r="N130" s="19" t="inlineStr"/>
      <c r="O130" s="19" t="inlineStr"/>
      <c r="P130" s="20" t="inlineStr"/>
      <c r="Q130" s="19" t="inlineStr"/>
      <c r="R130" s="14" t="inlineStr">
        <is>
          <t>23 Oct 2026</t>
        </is>
      </c>
      <c r="S130" s="14" t="inlineStr">
        <is>
          <t>23 Oct 2026</t>
        </is>
      </c>
    </row>
  </sheetData>
  <autoFilter ref="A1:S130"/>
  <conditionalFormatting sqref="M2:M330">
    <cfRule type="expression" priority="1" dxfId="0" stopIfTrue="1">
      <formula>$M2="Pass"</formula>
    </cfRule>
    <cfRule type="expression" priority="2" dxfId="1" stopIfTrue="1">
      <formula>$M2="Fail"</formula>
    </cfRule>
    <cfRule type="expression" priority="3" dxfId="2" stopIfTrue="1">
      <formula>$M2="Blocked"</formula>
    </cfRule>
    <cfRule type="expression" priority="4" dxfId="3" stopIfTrue="1">
      <formula>$M2="Not run"</formula>
    </cfRule>
    <cfRule type="expression" priority="5" dxfId="3" stopIfTrue="1">
      <formula>$M2="N/A"</formula>
    </cfRule>
  </conditionalFormatting>
  <conditionalFormatting sqref="L2:L330">
    <cfRule type="expression" priority="6" dxfId="0" stopIfTrue="1">
      <formula>$L2="Pass"</formula>
    </cfRule>
    <cfRule type="expression" priority="7" dxfId="1" stopIfTrue="1">
      <formula>$L2="Fail"</formula>
    </cfRule>
    <cfRule type="expression" priority="8" dxfId="2" stopIfTrue="1">
      <formula>$L2="Blocked"</formula>
    </cfRule>
    <cfRule type="expression" priority="9" dxfId="3" stopIfTrue="1">
      <formula>$L2="Not run"</formula>
    </cfRule>
    <cfRule type="expression" priority="10" dxfId="3" stopIfTrue="1">
      <formula>$L2="N/A"</formula>
    </cfRule>
  </conditionalFormatting>
  <conditionalFormatting sqref="I2:I330">
    <cfRule type="expression" priority="11" dxfId="4" stopIfTrue="1">
      <formula>$I2="Critical"</formula>
    </cfRule>
    <cfRule type="expression" priority="12" dxfId="5" stopIfTrue="1">
      <formula>$I2="High"</formula>
    </cfRule>
    <cfRule type="expression" priority="13" dxfId="6" stopIfTrue="1">
      <formula>$I2="Medium"</formula>
    </cfRule>
    <cfRule type="expression" priority="14" dxfId="7" stopIfTrue="1">
      <formula>$I2="Low"</formula>
    </cfRule>
  </conditionalFormatting>
  <dataValidations count="1">
    <dataValidation sqref="M2:M330" showDropDown="0" showInputMessage="0" showErrorMessage="0" allowBlank="1" type="list">
      <formula1>"Not run,Pass,Fail,Blocked,N/A"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4" customWidth="1" min="3" max="3"/>
    <col width="14" customWidth="1" min="4" max="4"/>
    <col width="34" customWidth="1" min="5" max="5"/>
    <col width="44" customWidth="1" min="6" max="6"/>
    <col width="44" customWidth="1" min="7" max="7"/>
    <col width="22" customWidth="1" min="8" max="8"/>
    <col width="18" customWidth="1" min="9" max="9"/>
    <col width="11" customWidth="1" min="10" max="10"/>
    <col width="11" customWidth="1" min="11" max="11"/>
    <col width="12" customWidth="1" min="12" max="12"/>
    <col width="34" customWidth="1" min="13" max="13"/>
  </cols>
  <sheetData>
    <row r="1" ht="32" customHeight="1">
      <c r="A1" s="13" t="inlineStr">
        <is>
          <t>Bug ID</t>
        </is>
      </c>
      <c r="B1" s="13" t="inlineStr">
        <is>
          <t>Date &amp; time seen</t>
        </is>
      </c>
      <c r="C1" s="13" t="inlineStr">
        <is>
          <t>Login (user)</t>
        </is>
      </c>
      <c r="D1" s="13" t="inlineStr">
        <is>
          <t>Role</t>
        </is>
      </c>
      <c r="E1" s="13" t="inlineStr">
        <is>
          <t>Page address (URL)</t>
        </is>
      </c>
      <c r="F1" s="13" t="inlineStr">
        <is>
          <t>What you were doing (steps)</t>
        </is>
      </c>
      <c r="G1" s="13" t="inlineStr">
        <is>
          <t>Exact error message</t>
        </is>
      </c>
      <c r="H1" s="13" t="inlineStr">
        <is>
          <t>Screenshot file name</t>
        </is>
      </c>
      <c r="I1" s="13" t="inlineStr">
        <is>
          <t>Browser / device</t>
        </is>
      </c>
      <c r="J1" s="13" t="inlineStr">
        <is>
          <t>Severity</t>
        </is>
      </c>
      <c r="K1" s="13" t="inlineStr">
        <is>
          <t>TC ID</t>
        </is>
      </c>
      <c r="L1" s="13" t="inlineStr">
        <is>
          <t>Status</t>
        </is>
      </c>
      <c r="M1" s="13" t="inlineStr">
        <is>
          <t>Developer notes</t>
        </is>
      </c>
    </row>
    <row r="2">
      <c r="A2" s="21" t="inlineStr">
        <is>
          <t>BUG-001</t>
        </is>
      </c>
      <c r="B2" s="21" t="inlineStr">
        <is>
          <t>2026-10-22 10:35</t>
        </is>
      </c>
      <c r="C2" s="21" t="inlineStr">
        <is>
          <t>hr.user@alriyada.edu.sa</t>
        </is>
      </c>
      <c r="D2" s="21" t="inlineStr">
        <is>
          <t>HR User</t>
        </is>
      </c>
      <c r="E2" s="22" t="inlineStr">
        <is>
          <t>https://&lt;site&gt;/app/leave-application/HR-LAP-2026-00012</t>
        </is>
      </c>
      <c r="F2" s="22" t="inlineStr">
        <is>
          <t>Opened the leave, set Status to Approved, clicked Save</t>
        </is>
      </c>
      <c r="G2" s="22" t="inlineStr">
        <is>
          <t>Example: 'Insufficient Permission for Leave Application' (red pop-up)</t>
        </is>
      </c>
      <c r="H2" s="21" t="inlineStr">
        <is>
          <t>bug-001.png</t>
        </is>
      </c>
      <c r="I2" s="21" t="inlineStr">
        <is>
          <t>Chrome 130 / Windows</t>
        </is>
      </c>
      <c r="J2" s="21" t="inlineStr">
        <is>
          <t>High</t>
        </is>
      </c>
      <c r="K2" s="21" t="inlineStr">
        <is>
          <t>TC-LV-02</t>
        </is>
      </c>
      <c r="L2" s="21" t="inlineStr">
        <is>
          <t>Open</t>
        </is>
      </c>
      <c r="M2" s="22" t="inlineStr">
        <is>
          <t>Example row — replace with real reports</t>
        </is>
      </c>
    </row>
    <row r="3">
      <c r="A3" s="19" t="n"/>
      <c r="B3" s="19" t="n"/>
      <c r="C3" s="19" t="n"/>
      <c r="D3" s="19" t="n"/>
      <c r="E3" s="20" t="n"/>
      <c r="F3" s="20" t="n"/>
      <c r="G3" s="20" t="n"/>
      <c r="H3" s="19" t="n"/>
      <c r="I3" s="19" t="n"/>
      <c r="J3" s="19" t="n"/>
      <c r="K3" s="19" t="n"/>
      <c r="L3" s="19" t="n"/>
      <c r="M3" s="20" t="n"/>
    </row>
    <row r="4">
      <c r="A4" s="19" t="n"/>
      <c r="B4" s="19" t="n"/>
      <c r="C4" s="19" t="n"/>
      <c r="D4" s="19" t="n"/>
      <c r="E4" s="20" t="n"/>
      <c r="F4" s="20" t="n"/>
      <c r="G4" s="20" t="n"/>
      <c r="H4" s="19" t="n"/>
      <c r="I4" s="19" t="n"/>
      <c r="J4" s="19" t="n"/>
      <c r="K4" s="19" t="n"/>
      <c r="L4" s="19" t="n"/>
      <c r="M4" s="20" t="n"/>
    </row>
    <row r="5">
      <c r="A5" s="19" t="n"/>
      <c r="B5" s="19" t="n"/>
      <c r="C5" s="19" t="n"/>
      <c r="D5" s="19" t="n"/>
      <c r="E5" s="20" t="n"/>
      <c r="F5" s="20" t="n"/>
      <c r="G5" s="20" t="n"/>
      <c r="H5" s="19" t="n"/>
      <c r="I5" s="19" t="n"/>
      <c r="J5" s="19" t="n"/>
      <c r="K5" s="19" t="n"/>
      <c r="L5" s="19" t="n"/>
      <c r="M5" s="20" t="n"/>
    </row>
    <row r="6">
      <c r="A6" s="19" t="n"/>
      <c r="B6" s="19" t="n"/>
      <c r="C6" s="19" t="n"/>
      <c r="D6" s="19" t="n"/>
      <c r="E6" s="20" t="n"/>
      <c r="F6" s="20" t="n"/>
      <c r="G6" s="20" t="n"/>
      <c r="H6" s="19" t="n"/>
      <c r="I6" s="19" t="n"/>
      <c r="J6" s="19" t="n"/>
      <c r="K6" s="19" t="n"/>
      <c r="L6" s="19" t="n"/>
      <c r="M6" s="20" t="n"/>
    </row>
    <row r="7">
      <c r="A7" s="19" t="n"/>
      <c r="B7" s="19" t="n"/>
      <c r="C7" s="19" t="n"/>
      <c r="D7" s="19" t="n"/>
      <c r="E7" s="20" t="n"/>
      <c r="F7" s="20" t="n"/>
      <c r="G7" s="20" t="n"/>
      <c r="H7" s="19" t="n"/>
      <c r="I7" s="19" t="n"/>
      <c r="J7" s="19" t="n"/>
      <c r="K7" s="19" t="n"/>
      <c r="L7" s="19" t="n"/>
      <c r="M7" s="20" t="n"/>
    </row>
    <row r="8">
      <c r="A8" s="19" t="n"/>
      <c r="B8" s="19" t="n"/>
      <c r="C8" s="19" t="n"/>
      <c r="D8" s="19" t="n"/>
      <c r="E8" s="20" t="n"/>
      <c r="F8" s="20" t="n"/>
      <c r="G8" s="20" t="n"/>
      <c r="H8" s="19" t="n"/>
      <c r="I8" s="19" t="n"/>
      <c r="J8" s="19" t="n"/>
      <c r="K8" s="19" t="n"/>
      <c r="L8" s="19" t="n"/>
      <c r="M8" s="20" t="n"/>
    </row>
    <row r="9">
      <c r="A9" s="19" t="n"/>
      <c r="B9" s="19" t="n"/>
      <c r="C9" s="19" t="n"/>
      <c r="D9" s="19" t="n"/>
      <c r="E9" s="20" t="n"/>
      <c r="F9" s="20" t="n"/>
      <c r="G9" s="20" t="n"/>
      <c r="H9" s="19" t="n"/>
      <c r="I9" s="19" t="n"/>
      <c r="J9" s="19" t="n"/>
      <c r="K9" s="19" t="n"/>
      <c r="L9" s="19" t="n"/>
      <c r="M9" s="20" t="n"/>
    </row>
    <row r="10">
      <c r="A10" s="19" t="n"/>
      <c r="B10" s="19" t="n"/>
      <c r="C10" s="19" t="n"/>
      <c r="D10" s="19" t="n"/>
      <c r="E10" s="20" t="n"/>
      <c r="F10" s="20" t="n"/>
      <c r="G10" s="20" t="n"/>
      <c r="H10" s="19" t="n"/>
      <c r="I10" s="19" t="n"/>
      <c r="J10" s="19" t="n"/>
      <c r="K10" s="19" t="n"/>
      <c r="L10" s="19" t="n"/>
      <c r="M10" s="20" t="n"/>
    </row>
    <row r="11">
      <c r="A11" s="19" t="n"/>
      <c r="B11" s="19" t="n"/>
      <c r="C11" s="19" t="n"/>
      <c r="D11" s="19" t="n"/>
      <c r="E11" s="20" t="n"/>
      <c r="F11" s="20" t="n"/>
      <c r="G11" s="20" t="n"/>
      <c r="H11" s="19" t="n"/>
      <c r="I11" s="19" t="n"/>
      <c r="J11" s="19" t="n"/>
      <c r="K11" s="19" t="n"/>
      <c r="L11" s="19" t="n"/>
      <c r="M11" s="20" t="n"/>
    </row>
    <row r="12">
      <c r="A12" s="19" t="n"/>
      <c r="B12" s="19" t="n"/>
      <c r="C12" s="19" t="n"/>
      <c r="D12" s="19" t="n"/>
      <c r="E12" s="20" t="n"/>
      <c r="F12" s="20" t="n"/>
      <c r="G12" s="20" t="n"/>
      <c r="H12" s="19" t="n"/>
      <c r="I12" s="19" t="n"/>
      <c r="J12" s="19" t="n"/>
      <c r="K12" s="19" t="n"/>
      <c r="L12" s="19" t="n"/>
      <c r="M12" s="20" t="n"/>
    </row>
    <row r="13">
      <c r="A13" s="19" t="n"/>
      <c r="B13" s="19" t="n"/>
      <c r="C13" s="19" t="n"/>
      <c r="D13" s="19" t="n"/>
      <c r="E13" s="20" t="n"/>
      <c r="F13" s="20" t="n"/>
      <c r="G13" s="20" t="n"/>
      <c r="H13" s="19" t="n"/>
      <c r="I13" s="19" t="n"/>
      <c r="J13" s="19" t="n"/>
      <c r="K13" s="19" t="n"/>
      <c r="L13" s="19" t="n"/>
      <c r="M13" s="20" t="n"/>
    </row>
    <row r="14">
      <c r="A14" s="19" t="n"/>
      <c r="B14" s="19" t="n"/>
      <c r="C14" s="19" t="n"/>
      <c r="D14" s="19" t="n"/>
      <c r="E14" s="20" t="n"/>
      <c r="F14" s="20" t="n"/>
      <c r="G14" s="20" t="n"/>
      <c r="H14" s="19" t="n"/>
      <c r="I14" s="19" t="n"/>
      <c r="J14" s="19" t="n"/>
      <c r="K14" s="19" t="n"/>
      <c r="L14" s="19" t="n"/>
      <c r="M14" s="20" t="n"/>
    </row>
    <row r="15">
      <c r="A15" s="19" t="n"/>
      <c r="B15" s="19" t="n"/>
      <c r="C15" s="19" t="n"/>
      <c r="D15" s="19" t="n"/>
      <c r="E15" s="20" t="n"/>
      <c r="F15" s="20" t="n"/>
      <c r="G15" s="20" t="n"/>
      <c r="H15" s="19" t="n"/>
      <c r="I15" s="19" t="n"/>
      <c r="J15" s="19" t="n"/>
      <c r="K15" s="19" t="n"/>
      <c r="L15" s="19" t="n"/>
      <c r="M15" s="20" t="n"/>
    </row>
    <row r="16">
      <c r="A16" s="19" t="n"/>
      <c r="B16" s="19" t="n"/>
      <c r="C16" s="19" t="n"/>
      <c r="D16" s="19" t="n"/>
      <c r="E16" s="20" t="n"/>
      <c r="F16" s="20" t="n"/>
      <c r="G16" s="20" t="n"/>
      <c r="H16" s="19" t="n"/>
      <c r="I16" s="19" t="n"/>
      <c r="J16" s="19" t="n"/>
      <c r="K16" s="19" t="n"/>
      <c r="L16" s="19" t="n"/>
      <c r="M16" s="20" t="n"/>
    </row>
    <row r="17">
      <c r="A17" s="19" t="n"/>
      <c r="B17" s="19" t="n"/>
      <c r="C17" s="19" t="n"/>
      <c r="D17" s="19" t="n"/>
      <c r="E17" s="20" t="n"/>
      <c r="F17" s="20" t="n"/>
      <c r="G17" s="20" t="n"/>
      <c r="H17" s="19" t="n"/>
      <c r="I17" s="19" t="n"/>
      <c r="J17" s="19" t="n"/>
      <c r="K17" s="19" t="n"/>
      <c r="L17" s="19" t="n"/>
      <c r="M17" s="20" t="n"/>
    </row>
    <row r="18">
      <c r="A18" s="19" t="n"/>
      <c r="B18" s="19" t="n"/>
      <c r="C18" s="19" t="n"/>
      <c r="D18" s="19" t="n"/>
      <c r="E18" s="20" t="n"/>
      <c r="F18" s="20" t="n"/>
      <c r="G18" s="20" t="n"/>
      <c r="H18" s="19" t="n"/>
      <c r="I18" s="19" t="n"/>
      <c r="J18" s="19" t="n"/>
      <c r="K18" s="19" t="n"/>
      <c r="L18" s="19" t="n"/>
      <c r="M18" s="20" t="n"/>
    </row>
    <row r="19">
      <c r="A19" s="19" t="n"/>
      <c r="B19" s="19" t="n"/>
      <c r="C19" s="19" t="n"/>
      <c r="D19" s="19" t="n"/>
      <c r="E19" s="20" t="n"/>
      <c r="F19" s="20" t="n"/>
      <c r="G19" s="20" t="n"/>
      <c r="H19" s="19" t="n"/>
      <c r="I19" s="19" t="n"/>
      <c r="J19" s="19" t="n"/>
      <c r="K19" s="19" t="n"/>
      <c r="L19" s="19" t="n"/>
      <c r="M19" s="20" t="n"/>
    </row>
    <row r="20">
      <c r="A20" s="19" t="n"/>
      <c r="B20" s="19" t="n"/>
      <c r="C20" s="19" t="n"/>
      <c r="D20" s="19" t="n"/>
      <c r="E20" s="20" t="n"/>
      <c r="F20" s="20" t="n"/>
      <c r="G20" s="20" t="n"/>
      <c r="H20" s="19" t="n"/>
      <c r="I20" s="19" t="n"/>
      <c r="J20" s="19" t="n"/>
      <c r="K20" s="19" t="n"/>
      <c r="L20" s="19" t="n"/>
      <c r="M20" s="20" t="n"/>
    </row>
    <row r="21">
      <c r="A21" s="19" t="n"/>
      <c r="B21" s="19" t="n"/>
      <c r="C21" s="19" t="n"/>
      <c r="D21" s="19" t="n"/>
      <c r="E21" s="20" t="n"/>
      <c r="F21" s="20" t="n"/>
      <c r="G21" s="20" t="n"/>
      <c r="H21" s="19" t="n"/>
      <c r="I21" s="19" t="n"/>
      <c r="J21" s="19" t="n"/>
      <c r="K21" s="19" t="n"/>
      <c r="L21" s="19" t="n"/>
      <c r="M21" s="20" t="n"/>
    </row>
    <row r="22">
      <c r="A22" s="19" t="n"/>
      <c r="B22" s="19" t="n"/>
      <c r="C22" s="19" t="n"/>
      <c r="D22" s="19" t="n"/>
      <c r="E22" s="20" t="n"/>
      <c r="F22" s="20" t="n"/>
      <c r="G22" s="20" t="n"/>
      <c r="H22" s="19" t="n"/>
      <c r="I22" s="19" t="n"/>
      <c r="J22" s="19" t="n"/>
      <c r="K22" s="19" t="n"/>
      <c r="L22" s="19" t="n"/>
      <c r="M22" s="20" t="n"/>
    </row>
    <row r="23">
      <c r="A23" s="19" t="n"/>
      <c r="B23" s="19" t="n"/>
      <c r="C23" s="19" t="n"/>
      <c r="D23" s="19" t="n"/>
      <c r="E23" s="20" t="n"/>
      <c r="F23" s="20" t="n"/>
      <c r="G23" s="20" t="n"/>
      <c r="H23" s="19" t="n"/>
      <c r="I23" s="19" t="n"/>
      <c r="J23" s="19" t="n"/>
      <c r="K23" s="19" t="n"/>
      <c r="L23" s="19" t="n"/>
      <c r="M23" s="20" t="n"/>
    </row>
    <row r="24">
      <c r="A24" s="19" t="n"/>
      <c r="B24" s="19" t="n"/>
      <c r="C24" s="19" t="n"/>
      <c r="D24" s="19" t="n"/>
      <c r="E24" s="20" t="n"/>
      <c r="F24" s="20" t="n"/>
      <c r="G24" s="20" t="n"/>
      <c r="H24" s="19" t="n"/>
      <c r="I24" s="19" t="n"/>
      <c r="J24" s="19" t="n"/>
      <c r="K24" s="19" t="n"/>
      <c r="L24" s="19" t="n"/>
      <c r="M24" s="20" t="n"/>
    </row>
    <row r="25">
      <c r="A25" s="19" t="n"/>
      <c r="B25" s="19" t="n"/>
      <c r="C25" s="19" t="n"/>
      <c r="D25" s="19" t="n"/>
      <c r="E25" s="20" t="n"/>
      <c r="F25" s="20" t="n"/>
      <c r="G25" s="20" t="n"/>
      <c r="H25" s="19" t="n"/>
      <c r="I25" s="19" t="n"/>
      <c r="J25" s="19" t="n"/>
      <c r="K25" s="19" t="n"/>
      <c r="L25" s="19" t="n"/>
      <c r="M25" s="20" t="n"/>
    </row>
    <row r="26">
      <c r="A26" s="19" t="n"/>
      <c r="B26" s="19" t="n"/>
      <c r="C26" s="19" t="n"/>
      <c r="D26" s="19" t="n"/>
      <c r="E26" s="20" t="n"/>
      <c r="F26" s="20" t="n"/>
      <c r="G26" s="20" t="n"/>
      <c r="H26" s="19" t="n"/>
      <c r="I26" s="19" t="n"/>
      <c r="J26" s="19" t="n"/>
      <c r="K26" s="19" t="n"/>
      <c r="L26" s="19" t="n"/>
      <c r="M26" s="20" t="n"/>
    </row>
    <row r="27">
      <c r="A27" s="19" t="n"/>
      <c r="B27" s="19" t="n"/>
      <c r="C27" s="19" t="n"/>
      <c r="D27" s="19" t="n"/>
      <c r="E27" s="20" t="n"/>
      <c r="F27" s="20" t="n"/>
      <c r="G27" s="20" t="n"/>
      <c r="H27" s="19" t="n"/>
      <c r="I27" s="19" t="n"/>
      <c r="J27" s="19" t="n"/>
      <c r="K27" s="19" t="n"/>
      <c r="L27" s="19" t="n"/>
      <c r="M27" s="20" t="n"/>
    </row>
    <row r="28">
      <c r="A28" s="19" t="n"/>
      <c r="B28" s="19" t="n"/>
      <c r="C28" s="19" t="n"/>
      <c r="D28" s="19" t="n"/>
      <c r="E28" s="20" t="n"/>
      <c r="F28" s="20" t="n"/>
      <c r="G28" s="20" t="n"/>
      <c r="H28" s="19" t="n"/>
      <c r="I28" s="19" t="n"/>
      <c r="J28" s="19" t="n"/>
      <c r="K28" s="19" t="n"/>
      <c r="L28" s="19" t="n"/>
      <c r="M28" s="20" t="n"/>
    </row>
    <row r="29">
      <c r="A29" s="19" t="n"/>
      <c r="B29" s="19" t="n"/>
      <c r="C29" s="19" t="n"/>
      <c r="D29" s="19" t="n"/>
      <c r="E29" s="20" t="n"/>
      <c r="F29" s="20" t="n"/>
      <c r="G29" s="20" t="n"/>
      <c r="H29" s="19" t="n"/>
      <c r="I29" s="19" t="n"/>
      <c r="J29" s="19" t="n"/>
      <c r="K29" s="19" t="n"/>
      <c r="L29" s="19" t="n"/>
      <c r="M29" s="20" t="n"/>
    </row>
    <row r="30">
      <c r="A30" s="19" t="n"/>
      <c r="B30" s="19" t="n"/>
      <c r="C30" s="19" t="n"/>
      <c r="D30" s="19" t="n"/>
      <c r="E30" s="20" t="n"/>
      <c r="F30" s="20" t="n"/>
      <c r="G30" s="20" t="n"/>
      <c r="H30" s="19" t="n"/>
      <c r="I30" s="19" t="n"/>
      <c r="J30" s="19" t="n"/>
      <c r="K30" s="19" t="n"/>
      <c r="L30" s="19" t="n"/>
      <c r="M30" s="20" t="n"/>
    </row>
    <row r="31">
      <c r="A31" s="19" t="n"/>
      <c r="B31" s="19" t="n"/>
      <c r="C31" s="19" t="n"/>
      <c r="D31" s="19" t="n"/>
      <c r="E31" s="20" t="n"/>
      <c r="F31" s="20" t="n"/>
      <c r="G31" s="20" t="n"/>
      <c r="H31" s="19" t="n"/>
      <c r="I31" s="19" t="n"/>
      <c r="J31" s="19" t="n"/>
      <c r="K31" s="19" t="n"/>
      <c r="L31" s="19" t="n"/>
      <c r="M31" s="20" t="n"/>
    </row>
    <row r="32">
      <c r="A32" s="19" t="n"/>
      <c r="B32" s="19" t="n"/>
      <c r="C32" s="19" t="n"/>
      <c r="D32" s="19" t="n"/>
      <c r="E32" s="20" t="n"/>
      <c r="F32" s="20" t="n"/>
      <c r="G32" s="20" t="n"/>
      <c r="H32" s="19" t="n"/>
      <c r="I32" s="19" t="n"/>
      <c r="J32" s="19" t="n"/>
      <c r="K32" s="19" t="n"/>
      <c r="L32" s="19" t="n"/>
      <c r="M32" s="20" t="n"/>
    </row>
    <row r="33">
      <c r="A33" s="19" t="n"/>
      <c r="B33" s="19" t="n"/>
      <c r="C33" s="19" t="n"/>
      <c r="D33" s="19" t="n"/>
      <c r="E33" s="20" t="n"/>
      <c r="F33" s="20" t="n"/>
      <c r="G33" s="20" t="n"/>
      <c r="H33" s="19" t="n"/>
      <c r="I33" s="19" t="n"/>
      <c r="J33" s="19" t="n"/>
      <c r="K33" s="19" t="n"/>
      <c r="L33" s="19" t="n"/>
      <c r="M33" s="20" t="n"/>
    </row>
    <row r="34">
      <c r="A34" s="19" t="n"/>
      <c r="B34" s="19" t="n"/>
      <c r="C34" s="19" t="n"/>
      <c r="D34" s="19" t="n"/>
      <c r="E34" s="20" t="n"/>
      <c r="F34" s="20" t="n"/>
      <c r="G34" s="20" t="n"/>
      <c r="H34" s="19" t="n"/>
      <c r="I34" s="19" t="n"/>
      <c r="J34" s="19" t="n"/>
      <c r="K34" s="19" t="n"/>
      <c r="L34" s="19" t="n"/>
      <c r="M34" s="20" t="n"/>
    </row>
    <row r="35">
      <c r="A35" s="19" t="n"/>
      <c r="B35" s="19" t="n"/>
      <c r="C35" s="19" t="n"/>
      <c r="D35" s="19" t="n"/>
      <c r="E35" s="20" t="n"/>
      <c r="F35" s="20" t="n"/>
      <c r="G35" s="20" t="n"/>
      <c r="H35" s="19" t="n"/>
      <c r="I35" s="19" t="n"/>
      <c r="J35" s="19" t="n"/>
      <c r="K35" s="19" t="n"/>
      <c r="L35" s="19" t="n"/>
      <c r="M35" s="20" t="n"/>
    </row>
    <row r="36">
      <c r="A36" s="19" t="n"/>
      <c r="B36" s="19" t="n"/>
      <c r="C36" s="19" t="n"/>
      <c r="D36" s="19" t="n"/>
      <c r="E36" s="20" t="n"/>
      <c r="F36" s="20" t="n"/>
      <c r="G36" s="20" t="n"/>
      <c r="H36" s="19" t="n"/>
      <c r="I36" s="19" t="n"/>
      <c r="J36" s="19" t="n"/>
      <c r="K36" s="19" t="n"/>
      <c r="L36" s="19" t="n"/>
      <c r="M36" s="20" t="n"/>
    </row>
    <row r="37">
      <c r="A37" s="19" t="n"/>
      <c r="B37" s="19" t="n"/>
      <c r="C37" s="19" t="n"/>
      <c r="D37" s="19" t="n"/>
      <c r="E37" s="20" t="n"/>
      <c r="F37" s="20" t="n"/>
      <c r="G37" s="20" t="n"/>
      <c r="H37" s="19" t="n"/>
      <c r="I37" s="19" t="n"/>
      <c r="J37" s="19" t="n"/>
      <c r="K37" s="19" t="n"/>
      <c r="L37" s="19" t="n"/>
      <c r="M37" s="20" t="n"/>
    </row>
    <row r="38">
      <c r="A38" s="19" t="n"/>
      <c r="B38" s="19" t="n"/>
      <c r="C38" s="19" t="n"/>
      <c r="D38" s="19" t="n"/>
      <c r="E38" s="20" t="n"/>
      <c r="F38" s="20" t="n"/>
      <c r="G38" s="20" t="n"/>
      <c r="H38" s="19" t="n"/>
      <c r="I38" s="19" t="n"/>
      <c r="J38" s="19" t="n"/>
      <c r="K38" s="19" t="n"/>
      <c r="L38" s="19" t="n"/>
      <c r="M38" s="20" t="n"/>
    </row>
    <row r="39">
      <c r="A39" s="19" t="n"/>
      <c r="B39" s="19" t="n"/>
      <c r="C39" s="19" t="n"/>
      <c r="D39" s="19" t="n"/>
      <c r="E39" s="20" t="n"/>
      <c r="F39" s="20" t="n"/>
      <c r="G39" s="20" t="n"/>
      <c r="H39" s="19" t="n"/>
      <c r="I39" s="19" t="n"/>
      <c r="J39" s="19" t="n"/>
      <c r="K39" s="19" t="n"/>
      <c r="L39" s="19" t="n"/>
      <c r="M39" s="20" t="n"/>
    </row>
    <row r="40">
      <c r="A40" s="19" t="n"/>
      <c r="B40" s="19" t="n"/>
      <c r="C40" s="19" t="n"/>
      <c r="D40" s="19" t="n"/>
      <c r="E40" s="20" t="n"/>
      <c r="F40" s="20" t="n"/>
      <c r="G40" s="20" t="n"/>
      <c r="H40" s="19" t="n"/>
      <c r="I40" s="19" t="n"/>
      <c r="J40" s="19" t="n"/>
      <c r="K40" s="19" t="n"/>
      <c r="L40" s="19" t="n"/>
      <c r="M40" s="20" t="n"/>
    </row>
    <row r="41">
      <c r="A41" s="19" t="n"/>
      <c r="B41" s="19" t="n"/>
      <c r="C41" s="19" t="n"/>
      <c r="D41" s="19" t="n"/>
      <c r="E41" s="20" t="n"/>
      <c r="F41" s="20" t="n"/>
      <c r="G41" s="20" t="n"/>
      <c r="H41" s="19" t="n"/>
      <c r="I41" s="19" t="n"/>
      <c r="J41" s="19" t="n"/>
      <c r="K41" s="19" t="n"/>
      <c r="L41" s="19" t="n"/>
      <c r="M41" s="20" t="n"/>
    </row>
    <row r="42">
      <c r="A42" s="19" t="n"/>
      <c r="B42" s="19" t="n"/>
      <c r="C42" s="19" t="n"/>
      <c r="D42" s="19" t="n"/>
      <c r="E42" s="20" t="n"/>
      <c r="F42" s="20" t="n"/>
      <c r="G42" s="20" t="n"/>
      <c r="H42" s="19" t="n"/>
      <c r="I42" s="19" t="n"/>
      <c r="J42" s="19" t="n"/>
      <c r="K42" s="19" t="n"/>
      <c r="L42" s="19" t="n"/>
      <c r="M42" s="20" t="n"/>
    </row>
    <row r="43">
      <c r="A43" s="19" t="n"/>
      <c r="B43" s="19" t="n"/>
      <c r="C43" s="19" t="n"/>
      <c r="D43" s="19" t="n"/>
      <c r="E43" s="20" t="n"/>
      <c r="F43" s="20" t="n"/>
      <c r="G43" s="20" t="n"/>
      <c r="H43" s="19" t="n"/>
      <c r="I43" s="19" t="n"/>
      <c r="J43" s="19" t="n"/>
      <c r="K43" s="19" t="n"/>
      <c r="L43" s="19" t="n"/>
      <c r="M43" s="20" t="n"/>
    </row>
    <row r="44">
      <c r="A44" s="19" t="n"/>
      <c r="B44" s="19" t="n"/>
      <c r="C44" s="19" t="n"/>
      <c r="D44" s="19" t="n"/>
      <c r="E44" s="20" t="n"/>
      <c r="F44" s="20" t="n"/>
      <c r="G44" s="20" t="n"/>
      <c r="H44" s="19" t="n"/>
      <c r="I44" s="19" t="n"/>
      <c r="J44" s="19" t="n"/>
      <c r="K44" s="19" t="n"/>
      <c r="L44" s="19" t="n"/>
      <c r="M44" s="20" t="n"/>
    </row>
    <row r="45">
      <c r="A45" s="19" t="n"/>
      <c r="B45" s="19" t="n"/>
      <c r="C45" s="19" t="n"/>
      <c r="D45" s="19" t="n"/>
      <c r="E45" s="20" t="n"/>
      <c r="F45" s="20" t="n"/>
      <c r="G45" s="20" t="n"/>
      <c r="H45" s="19" t="n"/>
      <c r="I45" s="19" t="n"/>
      <c r="J45" s="19" t="n"/>
      <c r="K45" s="19" t="n"/>
      <c r="L45" s="19" t="n"/>
      <c r="M45" s="20" t="n"/>
    </row>
    <row r="46">
      <c r="A46" s="19" t="n"/>
      <c r="B46" s="19" t="n"/>
      <c r="C46" s="19" t="n"/>
      <c r="D46" s="19" t="n"/>
      <c r="E46" s="20" t="n"/>
      <c r="F46" s="20" t="n"/>
      <c r="G46" s="20" t="n"/>
      <c r="H46" s="19" t="n"/>
      <c r="I46" s="19" t="n"/>
      <c r="J46" s="19" t="n"/>
      <c r="K46" s="19" t="n"/>
      <c r="L46" s="19" t="n"/>
      <c r="M46" s="20" t="n"/>
    </row>
    <row r="47">
      <c r="A47" s="19" t="n"/>
      <c r="B47" s="19" t="n"/>
      <c r="C47" s="19" t="n"/>
      <c r="D47" s="19" t="n"/>
      <c r="E47" s="20" t="n"/>
      <c r="F47" s="20" t="n"/>
      <c r="G47" s="20" t="n"/>
      <c r="H47" s="19" t="n"/>
      <c r="I47" s="19" t="n"/>
      <c r="J47" s="19" t="n"/>
      <c r="K47" s="19" t="n"/>
      <c r="L47" s="19" t="n"/>
      <c r="M47" s="20" t="n"/>
    </row>
    <row r="48">
      <c r="A48" s="19" t="n"/>
      <c r="B48" s="19" t="n"/>
      <c r="C48" s="19" t="n"/>
      <c r="D48" s="19" t="n"/>
      <c r="E48" s="20" t="n"/>
      <c r="F48" s="20" t="n"/>
      <c r="G48" s="20" t="n"/>
      <c r="H48" s="19" t="n"/>
      <c r="I48" s="19" t="n"/>
      <c r="J48" s="19" t="n"/>
      <c r="K48" s="19" t="n"/>
      <c r="L48" s="19" t="n"/>
      <c r="M48" s="20" t="n"/>
    </row>
    <row r="49">
      <c r="A49" s="19" t="n"/>
      <c r="B49" s="19" t="n"/>
      <c r="C49" s="19" t="n"/>
      <c r="D49" s="19" t="n"/>
      <c r="E49" s="20" t="n"/>
      <c r="F49" s="20" t="n"/>
      <c r="G49" s="20" t="n"/>
      <c r="H49" s="19" t="n"/>
      <c r="I49" s="19" t="n"/>
      <c r="J49" s="19" t="n"/>
      <c r="K49" s="19" t="n"/>
      <c r="L49" s="19" t="n"/>
      <c r="M49" s="20" t="n"/>
    </row>
    <row r="50">
      <c r="A50" s="19" t="n"/>
      <c r="B50" s="19" t="n"/>
      <c r="C50" s="19" t="n"/>
      <c r="D50" s="19" t="n"/>
      <c r="E50" s="20" t="n"/>
      <c r="F50" s="20" t="n"/>
      <c r="G50" s="20" t="n"/>
      <c r="H50" s="19" t="n"/>
      <c r="I50" s="19" t="n"/>
      <c r="J50" s="19" t="n"/>
      <c r="K50" s="19" t="n"/>
      <c r="L50" s="19" t="n"/>
      <c r="M50" s="20" t="n"/>
    </row>
    <row r="51">
      <c r="A51" s="19" t="n"/>
      <c r="B51" s="19" t="n"/>
      <c r="C51" s="19" t="n"/>
      <c r="D51" s="19" t="n"/>
      <c r="E51" s="20" t="n"/>
      <c r="F51" s="20" t="n"/>
      <c r="G51" s="20" t="n"/>
      <c r="H51" s="19" t="n"/>
      <c r="I51" s="19" t="n"/>
      <c r="J51" s="19" t="n"/>
      <c r="K51" s="19" t="n"/>
      <c r="L51" s="19" t="n"/>
      <c r="M51" s="20" t="n"/>
    </row>
    <row r="52">
      <c r="A52" s="19" t="n"/>
      <c r="B52" s="19" t="n"/>
      <c r="C52" s="19" t="n"/>
      <c r="D52" s="19" t="n"/>
      <c r="E52" s="20" t="n"/>
      <c r="F52" s="20" t="n"/>
      <c r="G52" s="20" t="n"/>
      <c r="H52" s="19" t="n"/>
      <c r="I52" s="19" t="n"/>
      <c r="J52" s="19" t="n"/>
      <c r="K52" s="19" t="n"/>
      <c r="L52" s="19" t="n"/>
      <c r="M52" s="20" t="n"/>
    </row>
    <row r="53">
      <c r="A53" s="19" t="n"/>
      <c r="B53" s="19" t="n"/>
      <c r="C53" s="19" t="n"/>
      <c r="D53" s="19" t="n"/>
      <c r="E53" s="20" t="n"/>
      <c r="F53" s="20" t="n"/>
      <c r="G53" s="20" t="n"/>
      <c r="H53" s="19" t="n"/>
      <c r="I53" s="19" t="n"/>
      <c r="J53" s="19" t="n"/>
      <c r="K53" s="19" t="n"/>
      <c r="L53" s="19" t="n"/>
      <c r="M53" s="20" t="n"/>
    </row>
    <row r="54">
      <c r="A54" s="19" t="n"/>
      <c r="B54" s="19" t="n"/>
      <c r="C54" s="19" t="n"/>
      <c r="D54" s="19" t="n"/>
      <c r="E54" s="20" t="n"/>
      <c r="F54" s="20" t="n"/>
      <c r="G54" s="20" t="n"/>
      <c r="H54" s="19" t="n"/>
      <c r="I54" s="19" t="n"/>
      <c r="J54" s="19" t="n"/>
      <c r="K54" s="19" t="n"/>
      <c r="L54" s="19" t="n"/>
      <c r="M54" s="20" t="n"/>
    </row>
    <row r="55">
      <c r="A55" s="19" t="n"/>
      <c r="B55" s="19" t="n"/>
      <c r="C55" s="19" t="n"/>
      <c r="D55" s="19" t="n"/>
      <c r="E55" s="20" t="n"/>
      <c r="F55" s="20" t="n"/>
      <c r="G55" s="20" t="n"/>
      <c r="H55" s="19" t="n"/>
      <c r="I55" s="19" t="n"/>
      <c r="J55" s="19" t="n"/>
      <c r="K55" s="19" t="n"/>
      <c r="L55" s="19" t="n"/>
      <c r="M55" s="20" t="n"/>
    </row>
    <row r="56">
      <c r="A56" s="19" t="n"/>
      <c r="B56" s="19" t="n"/>
      <c r="C56" s="19" t="n"/>
      <c r="D56" s="19" t="n"/>
      <c r="E56" s="20" t="n"/>
      <c r="F56" s="20" t="n"/>
      <c r="G56" s="20" t="n"/>
      <c r="H56" s="19" t="n"/>
      <c r="I56" s="19" t="n"/>
      <c r="J56" s="19" t="n"/>
      <c r="K56" s="19" t="n"/>
      <c r="L56" s="19" t="n"/>
      <c r="M56" s="20" t="n"/>
    </row>
    <row r="57">
      <c r="A57" s="19" t="n"/>
      <c r="B57" s="19" t="n"/>
      <c r="C57" s="19" t="n"/>
      <c r="D57" s="19" t="n"/>
      <c r="E57" s="20" t="n"/>
      <c r="F57" s="20" t="n"/>
      <c r="G57" s="20" t="n"/>
      <c r="H57" s="19" t="n"/>
      <c r="I57" s="19" t="n"/>
      <c r="J57" s="19" t="n"/>
      <c r="K57" s="19" t="n"/>
      <c r="L57" s="19" t="n"/>
      <c r="M57" s="20" t="n"/>
    </row>
    <row r="58">
      <c r="A58" s="19" t="n"/>
      <c r="B58" s="19" t="n"/>
      <c r="C58" s="19" t="n"/>
      <c r="D58" s="19" t="n"/>
      <c r="E58" s="20" t="n"/>
      <c r="F58" s="20" t="n"/>
      <c r="G58" s="20" t="n"/>
      <c r="H58" s="19" t="n"/>
      <c r="I58" s="19" t="n"/>
      <c r="J58" s="19" t="n"/>
      <c r="K58" s="19" t="n"/>
      <c r="L58" s="19" t="n"/>
      <c r="M58" s="20" t="n"/>
    </row>
    <row r="59">
      <c r="A59" s="19" t="n"/>
      <c r="B59" s="19" t="n"/>
      <c r="C59" s="19" t="n"/>
      <c r="D59" s="19" t="n"/>
      <c r="E59" s="20" t="n"/>
      <c r="F59" s="20" t="n"/>
      <c r="G59" s="20" t="n"/>
      <c r="H59" s="19" t="n"/>
      <c r="I59" s="19" t="n"/>
      <c r="J59" s="19" t="n"/>
      <c r="K59" s="19" t="n"/>
      <c r="L59" s="19" t="n"/>
      <c r="M59" s="20" t="n"/>
    </row>
    <row r="60">
      <c r="A60" s="19" t="n"/>
      <c r="B60" s="19" t="n"/>
      <c r="C60" s="19" t="n"/>
      <c r="D60" s="19" t="n"/>
      <c r="E60" s="20" t="n"/>
      <c r="F60" s="20" t="n"/>
      <c r="G60" s="20" t="n"/>
      <c r="H60" s="19" t="n"/>
      <c r="I60" s="19" t="n"/>
      <c r="J60" s="19" t="n"/>
      <c r="K60" s="19" t="n"/>
      <c r="L60" s="19" t="n"/>
      <c r="M60" s="20" t="n"/>
    </row>
    <row r="61">
      <c r="A61" s="19" t="n"/>
      <c r="B61" s="19" t="n"/>
      <c r="C61" s="19" t="n"/>
      <c r="D61" s="19" t="n"/>
      <c r="E61" s="20" t="n"/>
      <c r="F61" s="20" t="n"/>
      <c r="G61" s="20" t="n"/>
      <c r="H61" s="19" t="n"/>
      <c r="I61" s="19" t="n"/>
      <c r="J61" s="19" t="n"/>
      <c r="K61" s="19" t="n"/>
      <c r="L61" s="19" t="n"/>
      <c r="M61" s="20" t="n"/>
    </row>
    <row r="62">
      <c r="A62" s="19" t="n"/>
      <c r="B62" s="19" t="n"/>
      <c r="C62" s="19" t="n"/>
      <c r="D62" s="19" t="n"/>
      <c r="E62" s="20" t="n"/>
      <c r="F62" s="20" t="n"/>
      <c r="G62" s="20" t="n"/>
      <c r="H62" s="19" t="n"/>
      <c r="I62" s="19" t="n"/>
      <c r="J62" s="19" t="n"/>
      <c r="K62" s="19" t="n"/>
      <c r="L62" s="19" t="n"/>
      <c r="M62" s="20" t="n"/>
    </row>
    <row r="63">
      <c r="A63" s="19" t="n"/>
      <c r="B63" s="19" t="n"/>
      <c r="C63" s="19" t="n"/>
      <c r="D63" s="19" t="n"/>
      <c r="E63" s="20" t="n"/>
      <c r="F63" s="20" t="n"/>
      <c r="G63" s="20" t="n"/>
      <c r="H63" s="19" t="n"/>
      <c r="I63" s="19" t="n"/>
      <c r="J63" s="19" t="n"/>
      <c r="K63" s="19" t="n"/>
      <c r="L63" s="19" t="n"/>
      <c r="M63" s="20" t="n"/>
    </row>
    <row r="64">
      <c r="A64" s="19" t="n"/>
      <c r="B64" s="19" t="n"/>
      <c r="C64" s="19" t="n"/>
      <c r="D64" s="19" t="n"/>
      <c r="E64" s="20" t="n"/>
      <c r="F64" s="20" t="n"/>
      <c r="G64" s="20" t="n"/>
      <c r="H64" s="19" t="n"/>
      <c r="I64" s="19" t="n"/>
      <c r="J64" s="19" t="n"/>
      <c r="K64" s="19" t="n"/>
      <c r="L64" s="19" t="n"/>
      <c r="M64" s="20" t="n"/>
    </row>
    <row r="65">
      <c r="A65" s="19" t="n"/>
      <c r="B65" s="19" t="n"/>
      <c r="C65" s="19" t="n"/>
      <c r="D65" s="19" t="n"/>
      <c r="E65" s="20" t="n"/>
      <c r="F65" s="20" t="n"/>
      <c r="G65" s="20" t="n"/>
      <c r="H65" s="19" t="n"/>
      <c r="I65" s="19" t="n"/>
      <c r="J65" s="19" t="n"/>
      <c r="K65" s="19" t="n"/>
      <c r="L65" s="19" t="n"/>
      <c r="M65" s="20" t="n"/>
    </row>
    <row r="66">
      <c r="A66" s="19" t="n"/>
      <c r="B66" s="19" t="n"/>
      <c r="C66" s="19" t="n"/>
      <c r="D66" s="19" t="n"/>
      <c r="E66" s="20" t="n"/>
      <c r="F66" s="20" t="n"/>
      <c r="G66" s="20" t="n"/>
      <c r="H66" s="19" t="n"/>
      <c r="I66" s="19" t="n"/>
      <c r="J66" s="19" t="n"/>
      <c r="K66" s="19" t="n"/>
      <c r="L66" s="19" t="n"/>
      <c r="M66" s="20" t="n"/>
    </row>
    <row r="67">
      <c r="A67" s="19" t="n"/>
      <c r="B67" s="19" t="n"/>
      <c r="C67" s="19" t="n"/>
      <c r="D67" s="19" t="n"/>
      <c r="E67" s="20" t="n"/>
      <c r="F67" s="20" t="n"/>
      <c r="G67" s="20" t="n"/>
      <c r="H67" s="19" t="n"/>
      <c r="I67" s="19" t="n"/>
      <c r="J67" s="19" t="n"/>
      <c r="K67" s="19" t="n"/>
      <c r="L67" s="19" t="n"/>
      <c r="M67" s="20" t="n"/>
    </row>
    <row r="68">
      <c r="A68" s="19" t="n"/>
      <c r="B68" s="19" t="n"/>
      <c r="C68" s="19" t="n"/>
      <c r="D68" s="19" t="n"/>
      <c r="E68" s="20" t="n"/>
      <c r="F68" s="20" t="n"/>
      <c r="G68" s="20" t="n"/>
      <c r="H68" s="19" t="n"/>
      <c r="I68" s="19" t="n"/>
      <c r="J68" s="19" t="n"/>
      <c r="K68" s="19" t="n"/>
      <c r="L68" s="19" t="n"/>
      <c r="M68" s="20" t="n"/>
    </row>
    <row r="69">
      <c r="A69" s="19" t="n"/>
      <c r="B69" s="19" t="n"/>
      <c r="C69" s="19" t="n"/>
      <c r="D69" s="19" t="n"/>
      <c r="E69" s="20" t="n"/>
      <c r="F69" s="20" t="n"/>
      <c r="G69" s="20" t="n"/>
      <c r="H69" s="19" t="n"/>
      <c r="I69" s="19" t="n"/>
      <c r="J69" s="19" t="n"/>
      <c r="K69" s="19" t="n"/>
      <c r="L69" s="19" t="n"/>
      <c r="M69" s="20" t="n"/>
    </row>
    <row r="70">
      <c r="A70" s="19" t="n"/>
      <c r="B70" s="19" t="n"/>
      <c r="C70" s="19" t="n"/>
      <c r="D70" s="19" t="n"/>
      <c r="E70" s="20" t="n"/>
      <c r="F70" s="20" t="n"/>
      <c r="G70" s="20" t="n"/>
      <c r="H70" s="19" t="n"/>
      <c r="I70" s="19" t="n"/>
      <c r="J70" s="19" t="n"/>
      <c r="K70" s="19" t="n"/>
      <c r="L70" s="19" t="n"/>
      <c r="M70" s="20" t="n"/>
    </row>
    <row r="71">
      <c r="A71" s="19" t="n"/>
      <c r="B71" s="19" t="n"/>
      <c r="C71" s="19" t="n"/>
      <c r="D71" s="19" t="n"/>
      <c r="E71" s="20" t="n"/>
      <c r="F71" s="20" t="n"/>
      <c r="G71" s="20" t="n"/>
      <c r="H71" s="19" t="n"/>
      <c r="I71" s="19" t="n"/>
      <c r="J71" s="19" t="n"/>
      <c r="K71" s="19" t="n"/>
      <c r="L71" s="19" t="n"/>
      <c r="M71" s="20" t="n"/>
    </row>
    <row r="72">
      <c r="A72" s="19" t="n"/>
      <c r="B72" s="19" t="n"/>
      <c r="C72" s="19" t="n"/>
      <c r="D72" s="19" t="n"/>
      <c r="E72" s="20" t="n"/>
      <c r="F72" s="20" t="n"/>
      <c r="G72" s="20" t="n"/>
      <c r="H72" s="19" t="n"/>
      <c r="I72" s="19" t="n"/>
      <c r="J72" s="19" t="n"/>
      <c r="K72" s="19" t="n"/>
      <c r="L72" s="19" t="n"/>
      <c r="M72" s="20" t="n"/>
    </row>
    <row r="73">
      <c r="A73" s="19" t="n"/>
      <c r="B73" s="19" t="n"/>
      <c r="C73" s="19" t="n"/>
      <c r="D73" s="19" t="n"/>
      <c r="E73" s="20" t="n"/>
      <c r="F73" s="20" t="n"/>
      <c r="G73" s="20" t="n"/>
      <c r="H73" s="19" t="n"/>
      <c r="I73" s="19" t="n"/>
      <c r="J73" s="19" t="n"/>
      <c r="K73" s="19" t="n"/>
      <c r="L73" s="19" t="n"/>
      <c r="M73" s="20" t="n"/>
    </row>
    <row r="74">
      <c r="A74" s="19" t="n"/>
      <c r="B74" s="19" t="n"/>
      <c r="C74" s="19" t="n"/>
      <c r="D74" s="19" t="n"/>
      <c r="E74" s="20" t="n"/>
      <c r="F74" s="20" t="n"/>
      <c r="G74" s="20" t="n"/>
      <c r="H74" s="19" t="n"/>
      <c r="I74" s="19" t="n"/>
      <c r="J74" s="19" t="n"/>
      <c r="K74" s="19" t="n"/>
      <c r="L74" s="19" t="n"/>
      <c r="M74" s="20" t="n"/>
    </row>
    <row r="75">
      <c r="A75" s="19" t="n"/>
      <c r="B75" s="19" t="n"/>
      <c r="C75" s="19" t="n"/>
      <c r="D75" s="19" t="n"/>
      <c r="E75" s="20" t="n"/>
      <c r="F75" s="20" t="n"/>
      <c r="G75" s="20" t="n"/>
      <c r="H75" s="19" t="n"/>
      <c r="I75" s="19" t="n"/>
      <c r="J75" s="19" t="n"/>
      <c r="K75" s="19" t="n"/>
      <c r="L75" s="19" t="n"/>
      <c r="M75" s="20" t="n"/>
    </row>
    <row r="76">
      <c r="A76" s="19" t="n"/>
      <c r="B76" s="19" t="n"/>
      <c r="C76" s="19" t="n"/>
      <c r="D76" s="19" t="n"/>
      <c r="E76" s="20" t="n"/>
      <c r="F76" s="20" t="n"/>
      <c r="G76" s="20" t="n"/>
      <c r="H76" s="19" t="n"/>
      <c r="I76" s="19" t="n"/>
      <c r="J76" s="19" t="n"/>
      <c r="K76" s="19" t="n"/>
      <c r="L76" s="19" t="n"/>
      <c r="M76" s="20" t="n"/>
    </row>
    <row r="77">
      <c r="A77" s="19" t="n"/>
      <c r="B77" s="19" t="n"/>
      <c r="C77" s="19" t="n"/>
      <c r="D77" s="19" t="n"/>
      <c r="E77" s="20" t="n"/>
      <c r="F77" s="20" t="n"/>
      <c r="G77" s="20" t="n"/>
      <c r="H77" s="19" t="n"/>
      <c r="I77" s="19" t="n"/>
      <c r="J77" s="19" t="n"/>
      <c r="K77" s="19" t="n"/>
      <c r="L77" s="19" t="n"/>
      <c r="M77" s="20" t="n"/>
    </row>
    <row r="78">
      <c r="A78" s="19" t="n"/>
      <c r="B78" s="19" t="n"/>
      <c r="C78" s="19" t="n"/>
      <c r="D78" s="19" t="n"/>
      <c r="E78" s="20" t="n"/>
      <c r="F78" s="20" t="n"/>
      <c r="G78" s="20" t="n"/>
      <c r="H78" s="19" t="n"/>
      <c r="I78" s="19" t="n"/>
      <c r="J78" s="19" t="n"/>
      <c r="K78" s="19" t="n"/>
      <c r="L78" s="19" t="n"/>
      <c r="M78" s="20" t="n"/>
    </row>
    <row r="79">
      <c r="A79" s="19" t="n"/>
      <c r="B79" s="19" t="n"/>
      <c r="C79" s="19" t="n"/>
      <c r="D79" s="19" t="n"/>
      <c r="E79" s="20" t="n"/>
      <c r="F79" s="20" t="n"/>
      <c r="G79" s="20" t="n"/>
      <c r="H79" s="19" t="n"/>
      <c r="I79" s="19" t="n"/>
      <c r="J79" s="19" t="n"/>
      <c r="K79" s="19" t="n"/>
      <c r="L79" s="19" t="n"/>
      <c r="M79" s="20" t="n"/>
    </row>
    <row r="80">
      <c r="A80" s="19" t="n"/>
      <c r="B80" s="19" t="n"/>
      <c r="C80" s="19" t="n"/>
      <c r="D80" s="19" t="n"/>
      <c r="E80" s="20" t="n"/>
      <c r="F80" s="20" t="n"/>
      <c r="G80" s="20" t="n"/>
      <c r="H80" s="19" t="n"/>
      <c r="I80" s="19" t="n"/>
      <c r="J80" s="19" t="n"/>
      <c r="K80" s="19" t="n"/>
      <c r="L80" s="19" t="n"/>
      <c r="M80" s="20" t="n"/>
    </row>
    <row r="81">
      <c r="A81" s="19" t="n"/>
      <c r="B81" s="19" t="n"/>
      <c r="C81" s="19" t="n"/>
      <c r="D81" s="19" t="n"/>
      <c r="E81" s="20" t="n"/>
      <c r="F81" s="20" t="n"/>
      <c r="G81" s="20" t="n"/>
      <c r="H81" s="19" t="n"/>
      <c r="I81" s="19" t="n"/>
      <c r="J81" s="19" t="n"/>
      <c r="K81" s="19" t="n"/>
      <c r="L81" s="19" t="n"/>
      <c r="M81" s="20" t="n"/>
    </row>
    <row r="82">
      <c r="A82" s="19" t="n"/>
      <c r="B82" s="19" t="n"/>
      <c r="C82" s="19" t="n"/>
      <c r="D82" s="19" t="n"/>
      <c r="E82" s="20" t="n"/>
      <c r="F82" s="20" t="n"/>
      <c r="G82" s="20" t="n"/>
      <c r="H82" s="19" t="n"/>
      <c r="I82" s="19" t="n"/>
      <c r="J82" s="19" t="n"/>
      <c r="K82" s="19" t="n"/>
      <c r="L82" s="19" t="n"/>
      <c r="M82" s="20" t="n"/>
    </row>
    <row r="83">
      <c r="A83" s="19" t="n"/>
      <c r="B83" s="19" t="n"/>
      <c r="C83" s="19" t="n"/>
      <c r="D83" s="19" t="n"/>
      <c r="E83" s="20" t="n"/>
      <c r="F83" s="20" t="n"/>
      <c r="G83" s="20" t="n"/>
      <c r="H83" s="19" t="n"/>
      <c r="I83" s="19" t="n"/>
      <c r="J83" s="19" t="n"/>
      <c r="K83" s="19" t="n"/>
      <c r="L83" s="19" t="n"/>
      <c r="M83" s="20" t="n"/>
    </row>
    <row r="84">
      <c r="A84" s="19" t="n"/>
      <c r="B84" s="19" t="n"/>
      <c r="C84" s="19" t="n"/>
      <c r="D84" s="19" t="n"/>
      <c r="E84" s="20" t="n"/>
      <c r="F84" s="20" t="n"/>
      <c r="G84" s="20" t="n"/>
      <c r="H84" s="19" t="n"/>
      <c r="I84" s="19" t="n"/>
      <c r="J84" s="19" t="n"/>
      <c r="K84" s="19" t="n"/>
      <c r="L84" s="19" t="n"/>
      <c r="M84" s="20" t="n"/>
    </row>
    <row r="85">
      <c r="A85" s="19" t="n"/>
      <c r="B85" s="19" t="n"/>
      <c r="C85" s="19" t="n"/>
      <c r="D85" s="19" t="n"/>
      <c r="E85" s="20" t="n"/>
      <c r="F85" s="20" t="n"/>
      <c r="G85" s="20" t="n"/>
      <c r="H85" s="19" t="n"/>
      <c r="I85" s="19" t="n"/>
      <c r="J85" s="19" t="n"/>
      <c r="K85" s="19" t="n"/>
      <c r="L85" s="19" t="n"/>
      <c r="M85" s="20" t="n"/>
    </row>
    <row r="86">
      <c r="A86" s="19" t="n"/>
      <c r="B86" s="19" t="n"/>
      <c r="C86" s="19" t="n"/>
      <c r="D86" s="19" t="n"/>
      <c r="E86" s="20" t="n"/>
      <c r="F86" s="20" t="n"/>
      <c r="G86" s="20" t="n"/>
      <c r="H86" s="19" t="n"/>
      <c r="I86" s="19" t="n"/>
      <c r="J86" s="19" t="n"/>
      <c r="K86" s="19" t="n"/>
      <c r="L86" s="19" t="n"/>
      <c r="M86" s="20" t="n"/>
    </row>
    <row r="87">
      <c r="A87" s="19" t="n"/>
      <c r="B87" s="19" t="n"/>
      <c r="C87" s="19" t="n"/>
      <c r="D87" s="19" t="n"/>
      <c r="E87" s="20" t="n"/>
      <c r="F87" s="20" t="n"/>
      <c r="G87" s="20" t="n"/>
      <c r="H87" s="19" t="n"/>
      <c r="I87" s="19" t="n"/>
      <c r="J87" s="19" t="n"/>
      <c r="K87" s="19" t="n"/>
      <c r="L87" s="19" t="n"/>
      <c r="M87" s="20" t="n"/>
    </row>
    <row r="88">
      <c r="A88" s="19" t="n"/>
      <c r="B88" s="19" t="n"/>
      <c r="C88" s="19" t="n"/>
      <c r="D88" s="19" t="n"/>
      <c r="E88" s="20" t="n"/>
      <c r="F88" s="20" t="n"/>
      <c r="G88" s="20" t="n"/>
      <c r="H88" s="19" t="n"/>
      <c r="I88" s="19" t="n"/>
      <c r="J88" s="19" t="n"/>
      <c r="K88" s="19" t="n"/>
      <c r="L88" s="19" t="n"/>
      <c r="M88" s="20" t="n"/>
    </row>
    <row r="89">
      <c r="A89" s="19" t="n"/>
      <c r="B89" s="19" t="n"/>
      <c r="C89" s="19" t="n"/>
      <c r="D89" s="19" t="n"/>
      <c r="E89" s="20" t="n"/>
      <c r="F89" s="20" t="n"/>
      <c r="G89" s="20" t="n"/>
      <c r="H89" s="19" t="n"/>
      <c r="I89" s="19" t="n"/>
      <c r="J89" s="19" t="n"/>
      <c r="K89" s="19" t="n"/>
      <c r="L89" s="19" t="n"/>
      <c r="M89" s="20" t="n"/>
    </row>
    <row r="90">
      <c r="A90" s="19" t="n"/>
      <c r="B90" s="19" t="n"/>
      <c r="C90" s="19" t="n"/>
      <c r="D90" s="19" t="n"/>
      <c r="E90" s="20" t="n"/>
      <c r="F90" s="20" t="n"/>
      <c r="G90" s="20" t="n"/>
      <c r="H90" s="19" t="n"/>
      <c r="I90" s="19" t="n"/>
      <c r="J90" s="19" t="n"/>
      <c r="K90" s="19" t="n"/>
      <c r="L90" s="19" t="n"/>
      <c r="M90" s="20" t="n"/>
    </row>
    <row r="91">
      <c r="A91" s="19" t="n"/>
      <c r="B91" s="19" t="n"/>
      <c r="C91" s="19" t="n"/>
      <c r="D91" s="19" t="n"/>
      <c r="E91" s="20" t="n"/>
      <c r="F91" s="20" t="n"/>
      <c r="G91" s="20" t="n"/>
      <c r="H91" s="19" t="n"/>
      <c r="I91" s="19" t="n"/>
      <c r="J91" s="19" t="n"/>
      <c r="K91" s="19" t="n"/>
      <c r="L91" s="19" t="n"/>
      <c r="M91" s="20" t="n"/>
    </row>
    <row r="92">
      <c r="A92" s="19" t="n"/>
      <c r="B92" s="19" t="n"/>
      <c r="C92" s="19" t="n"/>
      <c r="D92" s="19" t="n"/>
      <c r="E92" s="20" t="n"/>
      <c r="F92" s="20" t="n"/>
      <c r="G92" s="20" t="n"/>
      <c r="H92" s="19" t="n"/>
      <c r="I92" s="19" t="n"/>
      <c r="J92" s="19" t="n"/>
      <c r="K92" s="19" t="n"/>
      <c r="L92" s="19" t="n"/>
      <c r="M92" s="20" t="n"/>
    </row>
    <row r="93">
      <c r="A93" s="19" t="n"/>
      <c r="B93" s="19" t="n"/>
      <c r="C93" s="19" t="n"/>
      <c r="D93" s="19" t="n"/>
      <c r="E93" s="20" t="n"/>
      <c r="F93" s="20" t="n"/>
      <c r="G93" s="20" t="n"/>
      <c r="H93" s="19" t="n"/>
      <c r="I93" s="19" t="n"/>
      <c r="J93" s="19" t="n"/>
      <c r="K93" s="19" t="n"/>
      <c r="L93" s="19" t="n"/>
      <c r="M93" s="20" t="n"/>
    </row>
    <row r="94">
      <c r="A94" s="19" t="n"/>
      <c r="B94" s="19" t="n"/>
      <c r="C94" s="19" t="n"/>
      <c r="D94" s="19" t="n"/>
      <c r="E94" s="20" t="n"/>
      <c r="F94" s="20" t="n"/>
      <c r="G94" s="20" t="n"/>
      <c r="H94" s="19" t="n"/>
      <c r="I94" s="19" t="n"/>
      <c r="J94" s="19" t="n"/>
      <c r="K94" s="19" t="n"/>
      <c r="L94" s="19" t="n"/>
      <c r="M94" s="20" t="n"/>
    </row>
    <row r="95">
      <c r="A95" s="19" t="n"/>
      <c r="B95" s="19" t="n"/>
      <c r="C95" s="19" t="n"/>
      <c r="D95" s="19" t="n"/>
      <c r="E95" s="20" t="n"/>
      <c r="F95" s="20" t="n"/>
      <c r="G95" s="20" t="n"/>
      <c r="H95" s="19" t="n"/>
      <c r="I95" s="19" t="n"/>
      <c r="J95" s="19" t="n"/>
      <c r="K95" s="19" t="n"/>
      <c r="L95" s="19" t="n"/>
      <c r="M95" s="20" t="n"/>
    </row>
    <row r="96">
      <c r="A96" s="19" t="n"/>
      <c r="B96" s="19" t="n"/>
      <c r="C96" s="19" t="n"/>
      <c r="D96" s="19" t="n"/>
      <c r="E96" s="20" t="n"/>
      <c r="F96" s="20" t="n"/>
      <c r="G96" s="20" t="n"/>
      <c r="H96" s="19" t="n"/>
      <c r="I96" s="19" t="n"/>
      <c r="J96" s="19" t="n"/>
      <c r="K96" s="19" t="n"/>
      <c r="L96" s="19" t="n"/>
      <c r="M96" s="20" t="n"/>
    </row>
    <row r="97">
      <c r="A97" s="19" t="n"/>
      <c r="B97" s="19" t="n"/>
      <c r="C97" s="19" t="n"/>
      <c r="D97" s="19" t="n"/>
      <c r="E97" s="20" t="n"/>
      <c r="F97" s="20" t="n"/>
      <c r="G97" s="20" t="n"/>
      <c r="H97" s="19" t="n"/>
      <c r="I97" s="19" t="n"/>
      <c r="J97" s="19" t="n"/>
      <c r="K97" s="19" t="n"/>
      <c r="L97" s="19" t="n"/>
      <c r="M97" s="20" t="n"/>
    </row>
    <row r="98">
      <c r="A98" s="19" t="n"/>
      <c r="B98" s="19" t="n"/>
      <c r="C98" s="19" t="n"/>
      <c r="D98" s="19" t="n"/>
      <c r="E98" s="20" t="n"/>
      <c r="F98" s="20" t="n"/>
      <c r="G98" s="20" t="n"/>
      <c r="H98" s="19" t="n"/>
      <c r="I98" s="19" t="n"/>
      <c r="J98" s="19" t="n"/>
      <c r="K98" s="19" t="n"/>
      <c r="L98" s="19" t="n"/>
      <c r="M98" s="20" t="n"/>
    </row>
    <row r="99">
      <c r="A99" s="19" t="n"/>
      <c r="B99" s="19" t="n"/>
      <c r="C99" s="19" t="n"/>
      <c r="D99" s="19" t="n"/>
      <c r="E99" s="20" t="n"/>
      <c r="F99" s="20" t="n"/>
      <c r="G99" s="20" t="n"/>
      <c r="H99" s="19" t="n"/>
      <c r="I99" s="19" t="n"/>
      <c r="J99" s="19" t="n"/>
      <c r="K99" s="19" t="n"/>
      <c r="L99" s="19" t="n"/>
      <c r="M99" s="20" t="n"/>
    </row>
    <row r="100">
      <c r="A100" s="19" t="n"/>
      <c r="B100" s="19" t="n"/>
      <c r="C100" s="19" t="n"/>
      <c r="D100" s="19" t="n"/>
      <c r="E100" s="20" t="n"/>
      <c r="F100" s="20" t="n"/>
      <c r="G100" s="20" t="n"/>
      <c r="H100" s="19" t="n"/>
      <c r="I100" s="19" t="n"/>
      <c r="J100" s="19" t="n"/>
      <c r="K100" s="19" t="n"/>
      <c r="L100" s="19" t="n"/>
      <c r="M100" s="20" t="n"/>
    </row>
    <row r="101">
      <c r="A101" s="19" t="n"/>
      <c r="B101" s="19" t="n"/>
      <c r="C101" s="19" t="n"/>
      <c r="D101" s="19" t="n"/>
      <c r="E101" s="20" t="n"/>
      <c r="F101" s="20" t="n"/>
      <c r="G101" s="20" t="n"/>
      <c r="H101" s="19" t="n"/>
      <c r="I101" s="19" t="n"/>
      <c r="J101" s="19" t="n"/>
      <c r="K101" s="19" t="n"/>
      <c r="L101" s="19" t="n"/>
      <c r="M101" s="20" t="n"/>
    </row>
    <row r="102">
      <c r="A102" s="19" t="n"/>
      <c r="B102" s="19" t="n"/>
      <c r="C102" s="19" t="n"/>
      <c r="D102" s="19" t="n"/>
      <c r="E102" s="20" t="n"/>
      <c r="F102" s="20" t="n"/>
      <c r="G102" s="20" t="n"/>
      <c r="H102" s="19" t="n"/>
      <c r="I102" s="19" t="n"/>
      <c r="J102" s="19" t="n"/>
      <c r="K102" s="19" t="n"/>
      <c r="L102" s="19" t="n"/>
      <c r="M102" s="20" t="n"/>
    </row>
  </sheetData>
  <conditionalFormatting sqref="J2:J300">
    <cfRule type="expression" priority="1" dxfId="4" stopIfTrue="1">
      <formula>$J2="Critical"</formula>
    </cfRule>
    <cfRule type="expression" priority="2" dxfId="5" stopIfTrue="1">
      <formula>$J2="High"</formula>
    </cfRule>
    <cfRule type="expression" priority="3" dxfId="6" stopIfTrue="1">
      <formula>$J2="Medium"</formula>
    </cfRule>
    <cfRule type="expression" priority="4" dxfId="7" stopIfTrue="1">
      <formula>$J2="Low"</formula>
    </cfRule>
  </conditionalFormatting>
  <conditionalFormatting sqref="L2:L300">
    <cfRule type="expression" priority="5" dxfId="1" stopIfTrue="1">
      <formula>$L2="Open"</formula>
    </cfRule>
    <cfRule type="expression" priority="6" dxfId="8" stopIfTrue="1">
      <formula>$L2="Fixed"</formula>
    </cfRule>
    <cfRule type="expression" priority="7" dxfId="2" stopIfTrue="1">
      <formula>$L2="Retest"</formula>
    </cfRule>
    <cfRule type="expression" priority="8" dxfId="0" stopIfTrue="1">
      <formula>$L2="Closed"</formula>
    </cfRule>
    <cfRule type="expression" priority="9" dxfId="3" stopIfTrue="1">
      <formula>$L2="Not a bug"</formula>
    </cfRule>
  </conditionalFormatting>
  <dataValidations count="2">
    <dataValidation sqref="J2:J300" showDropDown="0" showInputMessage="0" showErrorMessage="0" allowBlank="1" type="list">
      <formula1>"Critical,High,Medium,Low"</formula1>
    </dataValidation>
    <dataValidation sqref="L2:L300" showDropDown="0" showInputMessage="0" showErrorMessage="0" allowBlank="1" type="list">
      <formula1>"Open,Fixed,Retest,Closed,Not a bug"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46" customWidth="1" min="2" max="2"/>
    <col width="36" customWidth="1" min="3" max="3"/>
    <col width="50" customWidth="1" min="4" max="4"/>
  </cols>
  <sheetData>
    <row r="1" ht="32" customHeight="1">
      <c r="A1" s="13" t="inlineStr">
        <is>
          <t>Role</t>
        </is>
      </c>
      <c r="B1" s="13" t="inlineStr">
        <is>
          <t>What it is for</t>
        </is>
      </c>
      <c r="C1" s="13" t="inlineStr">
        <is>
          <t>Account on the test site</t>
        </is>
      </c>
      <c r="D1" s="13" t="inlineStr">
        <is>
          <t>Notes</t>
        </is>
      </c>
    </row>
    <row r="2">
      <c r="A2" s="18" t="inlineStr">
        <is>
          <t>HR Manager</t>
        </is>
      </c>
      <c r="B2" s="18" t="inlineStr">
        <is>
          <t>HR Dashboard, approvals, recruitment, Jameah pages</t>
        </is>
      </c>
      <c r="C2" s="18" t="inlineStr">
        <is>
          <t>Ask the developer (QA accounts are created per test run)</t>
        </is>
      </c>
      <c r="D2" s="18" t="inlineStr">
        <is>
          <t>Must have HR Manager + HR User roles</t>
        </is>
      </c>
    </row>
    <row r="3">
      <c r="A3" s="18" t="inlineStr">
        <is>
          <t>HR User</t>
        </is>
      </c>
      <c r="B3" s="18" t="inlineStr">
        <is>
          <t>Day-to-day HR checks</t>
        </is>
      </c>
      <c r="C3" s="18" t="inlineStr">
        <is>
          <t>Ask the developer</t>
        </is>
      </c>
      <c r="D3" s="18" t="inlineStr">
        <is>
          <t>HR User role only</t>
        </is>
      </c>
    </row>
    <row r="4">
      <c r="A4" s="18" t="inlineStr">
        <is>
          <t>Employee (x2)</t>
        </is>
      </c>
      <c r="B4" s="18" t="inlineStr">
        <is>
          <t>Self-service and privacy checks (two people)</t>
        </is>
      </c>
      <c r="C4" s="18" t="inlineStr">
        <is>
          <t>Ask the developer</t>
        </is>
      </c>
      <c r="D4" s="18" t="inlineStr">
        <is>
          <t>Each must be linked to an Employee record with a leave approver</t>
        </is>
      </c>
    </row>
    <row r="5">
      <c r="A5" s="18" t="inlineStr">
        <is>
          <t>Instructor</t>
        </is>
      </c>
      <c r="B5" s="18" t="inlineStr">
        <is>
          <t>Check the Instructor dashboard is not affected</t>
        </is>
      </c>
      <c r="C5" s="18" t="inlineStr">
        <is>
          <t>qa.instructor@rchs-qa.test / QaInstructor#2026</t>
        </is>
      </c>
      <c r="D5" s="18" t="inlineStr">
        <is>
          <t>Local test site only</t>
        </is>
      </c>
    </row>
    <row r="6">
      <c r="A6" s="18" t="inlineStr">
        <is>
          <t>Academic Affairs (Education Manager)</t>
        </is>
      </c>
      <c r="B6" s="18" t="inlineStr">
        <is>
          <t>Jameah Settings and Code Map</t>
        </is>
      </c>
      <c r="C6" s="18" t="inlineStr">
        <is>
          <t>Ask the developer</t>
        </is>
      </c>
      <c r="D6" s="18" t="inlineStr">
        <is>
          <t>Education Manager role</t>
        </is>
      </c>
    </row>
    <row r="7">
      <c r="A7" s="18" t="inlineStr">
        <is>
          <t>Administrator</t>
        </is>
      </c>
      <c r="B7" s="18" t="inlineStr">
        <is>
          <t>Error Log, e-mail account, scheduled jobs</t>
        </is>
      </c>
      <c r="C7" s="18" t="inlineStr">
        <is>
          <t>Site administrator</t>
        </is>
      </c>
      <c r="D7" s="18" t="inlineStr">
        <is>
          <t>Never use for normal test cases</t>
        </is>
      </c>
    </row>
    <row r="8">
      <c r="A8" s="18" t="inlineStr">
        <is>
          <t>Applicant</t>
        </is>
      </c>
      <c r="B8" s="18" t="inlineStr">
        <is>
          <t>Public job application form</t>
        </is>
      </c>
      <c r="C8" s="18" t="inlineStr">
        <is>
          <t>No login — use the generated link</t>
        </is>
      </c>
      <c r="D8" s="18" t="inlineStr">
        <is>
          <t>Use test e-mails, never real people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3" customWidth="1" min="1" max="1"/>
    <col width="20" customWidth="1" min="2" max="2"/>
    <col width="34" customWidth="1" min="3" max="3"/>
    <col width="100" customWidth="1" min="4" max="4"/>
    <col width="16" customWidth="1" min="5" max="5"/>
  </cols>
  <sheetData>
    <row r="1" ht="32" customHeight="1">
      <c r="A1" s="13" t="inlineStr">
        <is>
          <t>Date</t>
        </is>
      </c>
      <c r="B1" s="13" t="inlineStr">
        <is>
          <t>Area</t>
        </is>
      </c>
      <c r="C1" s="13" t="inlineStr">
        <is>
          <t>Items</t>
        </is>
      </c>
      <c r="D1" s="13" t="inlineStr">
        <is>
          <t>What changed</t>
        </is>
      </c>
      <c r="E1" s="13" t="inlineStr">
        <is>
          <t>By</t>
        </is>
      </c>
    </row>
    <row r="2">
      <c r="A2" s="14" t="inlineStr">
        <is>
          <t>23 Oct 2026</t>
        </is>
      </c>
      <c r="B2" s="14" t="inlineStr">
        <is>
          <t>Project tracking</t>
        </is>
      </c>
      <c r="C2" s="18" t="inlineStr">
        <is>
          <t>HR-04 - HR-06, HR-11, HR-28 - HR-30, HR-48, HR-66, HR-70, JM-12, JM-13, JM-16, JM-17, B-26</t>
        </is>
      </c>
      <c r="D2" s="18" t="inlineStr">
        <is>
          <t>Owners corrected: Medical HRMS and Jameah are built by the HRMS team only, so no task is owned by the Education team (HR-11, HR-28, HR-48, JM-16, JM-17 now Abdul Hakeem; JM-12 Academic Affairs + Abdul Hakeem; JM-13 Registrar). Employee application: Dinesh + Abdul Hakeem built it (HR-06); Fathir handles its UI (HR-70) and Dinesh's open items (HR-04, HR-05). Status and Priority shown in clear colours in all three workbooks (Status, Priority, Result and Severity cells only), with a priority legend in the Read Me.</t>
        </is>
      </c>
      <c r="E2" s="14" t="inlineStr">
        <is>
          <t>Abdul Hakeem</t>
        </is>
      </c>
    </row>
    <row r="3">
      <c r="A3" s="14" t="inlineStr">
        <is>
          <t>23 Oct 2026</t>
        </is>
      </c>
      <c r="B3" s="14" t="inlineStr">
        <is>
          <t>Project tracking</t>
        </is>
      </c>
      <c r="C3" s="18" t="inlineStr">
        <is>
          <t>HR-72, B-52, B-53</t>
        </is>
      </c>
      <c r="D3" s="18" t="inlineStr">
        <is>
          <t>The three check scripts (files, site, server methods) now record their result in the Test Cases workbook (Last automated run: Pass, 23 Oct). The file check found a missing import in the site check; fixed.</t>
        </is>
      </c>
      <c r="E3" s="14" t="inlineStr">
        <is>
          <t>Abdul Hakeem</t>
        </is>
      </c>
    </row>
    <row r="4">
      <c r="A4" s="14" t="inlineStr">
        <is>
          <t>23 Oct 2026</t>
        </is>
      </c>
      <c r="B4" s="14" t="inlineStr">
        <is>
          <t>Medical HRMS</t>
        </is>
      </c>
      <c r="C4" s="18" t="inlineStr">
        <is>
          <t>HR-58, HR-69, HR-71 - HR-73, B-45 - B-51, CL-01, CL-30, CL-34 - CL-36, TC-ERR-06 - TC-ERR-09, TC-SEC-10</t>
        </is>
      </c>
      <c r="D4" s="18" t="inlineStr">
        <is>
          <t>Every branch merged into develop (ministry-lookup last; employee-applicant recorded as merged without its July files, as decided); develop is now the branch to test and deploy. Full check of every file and page (files, site, server methods by role, unit tests, browser suite with a sweep of every Medical HRMS doctype); checks kept in tests/checks. Fixed: stray files, outdated README and developer guide, QA setup race, refresh-lock test, Ministry code search. HR-69 corrected (employee counts were test hires). Result: 95/95 browser checks (error sweep: 116 pages for HR, 20 for employees), 37/37 unit tests, 23/23 Ministry views, 29 server methods x 3 roles, 0 file and 0 site problems, no Error Log entries.</t>
        </is>
      </c>
      <c r="E4" s="14" t="inlineStr">
        <is>
          <t>Abdul Hakeem</t>
        </is>
      </c>
    </row>
    <row r="5">
      <c r="A5" s="14" t="inlineStr">
        <is>
          <t>22 Oct 2026</t>
        </is>
      </c>
      <c r="B5" s="14" t="inlineStr">
        <is>
          <t>Medical HRMS</t>
        </is>
      </c>
      <c r="C5" s="18" t="inlineStr">
        <is>
          <t>HR-58, HR-70, JM-05, JM-19, B-42 – B-44, TC-REC-13, TC-REC-14</t>
        </is>
      </c>
      <c r="D5" s="18" t="inlineStr">
        <is>
          <t>develop (Fathir's job application update, PR #2) merged into feature/uat-2026-10-22; conflicts in job_application.py, job-application.html and ar.csv resolved keeping both sides; the Appreciation list restored and the work extension accepted again on the updated form (B-42, B-44); a migrate no longer fails when it overlaps the hourly Jameah refresh (B-43); test output removed from the repository. Re-tested: 95/95 browser checks, 37/37 unit tests, 23/23 Ministry views OK, no Error Log entries. Branch to test and deploy: feature/uat-2026-10-22.</t>
        </is>
      </c>
      <c r="E5" s="14" t="inlineStr">
        <is>
          <t>Abdul Hakeem</t>
        </is>
      </c>
    </row>
    <row r="6">
      <c r="A6" s="14" t="inlineStr">
        <is>
          <t>22 Oct 2026</t>
        </is>
      </c>
      <c r="B6" s="14" t="inlineStr">
        <is>
          <t>Medical HRMS</t>
        </is>
      </c>
      <c r="C6" s="18" t="inlineStr">
        <is>
          <t>HR-08, HR-09, HR-19, HR-20, HR-22, HR-68, HR-69, B-36 – B-40, DEC-14, CL-28 – CL-33</t>
        </is>
      </c>
      <c r="D6" s="18" t="inlineStr">
        <is>
          <t>Leave made one flow: Leave Plan (employees send it; manager and department head approve) -&gt; Leave Application (only leave the employee holds, with the days left; Apply now from an approved plan) -&gt; Leave Return (asked for when a leave ends; certificate and occupational health only after sick leave). Sick-leave types renamed in pay order (Sick Leave 1 / 2 / 3) by a migration patch. HR Portal Leave section: setup check per company, daily leave counts, yearly setup in order. Arabic for 114 new texts. 5 unit tests and 7 browser tests (LV-01 - LV-07); test cases TC-LV-09 - 17, TC-HRD-06/07. Real company Al Riyada College still needs its leave setup (HR-69). Branch to test and deploy: feature/uat-2026-10-22 (all work to date).</t>
        </is>
      </c>
      <c r="E6" s="14" t="inlineStr">
        <is>
          <t>Abdul Hakeem</t>
        </is>
      </c>
    </row>
    <row r="7">
      <c r="A7" s="14" t="inlineStr">
        <is>
          <t>22 Oct 2026</t>
        </is>
      </c>
      <c r="B7" s="14" t="inlineStr">
        <is>
          <t>Testing</t>
        </is>
      </c>
      <c r="C7" s="18" t="inlineStr">
        <is>
          <t>HR-67, B-41</t>
        </is>
      </c>
      <c r="D7" s="18" t="inlineStr">
        <is>
          <t>Browser test suite, QA data scripts and the results helper kept in the repository (tests/e2e); the QA scripts only run on a site named in QA_TEST_SITE. The QA reset no longer leaves the QA HR User without access to its own My Settings (test data only). The leave unit test now attaches a real test file, so it no longer writes 'Error Attaching File' to the Error Log. Full run 22 Oct: 95/95 browser checks, 36/36 unit tests, 23/23 Ministry views OK, no new Error Log entries.</t>
        </is>
      </c>
      <c r="E7" s="14" t="inlineStr">
        <is>
          <t>Abdul Hakeem</t>
        </is>
      </c>
    </row>
    <row r="8">
      <c r="A8" s="14" t="inlineStr">
        <is>
          <t>21 Oct 2026</t>
        </is>
      </c>
      <c r="B8" s="14" t="inlineStr">
        <is>
          <t>Medical HRMS + Jameah</t>
        </is>
      </c>
      <c r="C8" s="18" t="inlineStr">
        <is>
          <t>HR-49, HR-50, HR-51, HR-65, JM-14, B-35, DEC-12, DEC-13</t>
        </is>
      </c>
      <c r="D8" s="18" t="inlineStr">
        <is>
          <t>Report 'Employees Missing Ministry Data'; data sheet for non-academic staff (download, check, import); unused duplicate applicant Ministry fields removed; Create Employee dialog asks for every field the Employee form requires; Jameah Faculty views (8) built and verified (23 views in all). Arabic for the 46 new labels. Documents moved to the project_tracking folder; Checklist workbook added; dates on every row; HRM_TASK_TRACKER.md marked as superseded.</t>
        </is>
      </c>
      <c r="E8" s="14" t="inlineStr">
        <is>
          <t>Abdul Hakeem</t>
        </is>
      </c>
    </row>
    <row r="9">
      <c r="A9" s="14" t="inlineStr">
        <is>
          <t>21 Oct 2026</t>
        </is>
      </c>
      <c r="B9" s="14" t="inlineStr">
        <is>
          <t>Medical HRMS</t>
        </is>
      </c>
      <c r="C9" s="18" t="inlineStr">
        <is>
          <t>HR-66</t>
        </is>
      </c>
      <c r="D9" s="18" t="inlineStr">
        <is>
          <t>HR Portal and Employee Portal in the new college portal design (menu, top bar, EN/AR, dark mode); Arabic translations for these pages.</t>
        </is>
      </c>
      <c r="E9" s="14" t="inlineStr">
        <is>
          <t>Abdul Hakeem</t>
        </is>
      </c>
    </row>
    <row r="10">
      <c r="A10" s="14" t="inlineStr">
        <is>
          <t>21 Oct 2026</t>
        </is>
      </c>
      <c r="B10" s="14" t="inlineStr">
        <is>
          <t>Medical HRMS + Jameah</t>
        </is>
      </c>
      <c r="C10" s="18" t="inlineStr">
        <is>
          <t>HR-12, HR-31, HR-32, HR-45, HR-46, HR-59 – HR-64, JM-17, JM-18, B-24 – B-34</t>
        </is>
      </c>
      <c r="D10" s="18" t="inlineStr">
        <is>
          <t>End-to-end test round 3 with an error sweep of every page: fixes for the errors the client reported (non-Saudi employees, breadcrumb 'Not permitted', Cost Center pop-up, academic hire e-mail, Holiday List); HR login lands on the HR Dashboard; Ministry GPA and credit hours from Education's official calculation. Test Report, Test Cases and Task Tracker created.</t>
        </is>
      </c>
      <c r="E10" s="14" t="inlineStr">
        <is>
          <t>Abdul Hakeem</t>
        </is>
      </c>
    </row>
    <row r="11">
      <c r="A11" s="14" t="inlineStr">
        <is>
          <t>20 Oct 2026</t>
        </is>
      </c>
      <c r="B11" s="14" t="inlineStr">
        <is>
          <t>Medical HRMS + Jameah</t>
        </is>
      </c>
      <c r="C11" s="18" t="inlineStr">
        <is>
          <t>HR-07 – HR-09, HR-13 – HR-15, HR-19, HR-22, HR-26, HR-36 – HR-44, JM-02 – JM-07, B-12 – B-23</t>
        </is>
      </c>
      <c r="D11" s="18" t="inlineStr">
        <is>
          <t>Jameah Employee (5) and Student (10) views built and verified value by value; Academic Presence; browser test round 2 fixes.</t>
        </is>
      </c>
      <c r="E11" s="14" t="inlineStr">
        <is>
          <t>Abdul Hakeem</t>
        </is>
      </c>
    </row>
    <row r="12">
      <c r="A12" s="14" t="inlineStr">
        <is>
          <t>19 Oct 2026</t>
        </is>
      </c>
      <c r="B12" s="14" t="inlineStr">
        <is>
          <t>Medical HRMS + Jameah</t>
        </is>
      </c>
      <c r="C12" s="18" t="inlineStr">
        <is>
          <t>HR-02, HR-05, HR-06, HR-24, HR-27, HR-33 – HR-35, JM-01, B-01 – B-11</t>
        </is>
      </c>
      <c r="D12" s="18" t="inlineStr">
        <is>
          <t>Browser end-to-end test round 1 and fixes (approvals, recruitment security, Ministry identity rules); Instructor data sheet; Jameah research.</t>
        </is>
      </c>
      <c r="E12" s="14" t="inlineStr">
        <is>
          <t>Abdul Hakeem</t>
        </is>
      </c>
    </row>
    <row r="13">
      <c r="A13" s="14" t="inlineStr">
        <is>
          <t>1 Oct 2026</t>
        </is>
      </c>
      <c r="B13" s="14" t="inlineStr">
        <is>
          <t>Medical HRMS</t>
        </is>
      </c>
      <c r="C13" s="18" t="inlineStr">
        <is>
          <t>HR-01 – HR-32</t>
        </is>
      </c>
      <c r="D13" s="18" t="inlineStr">
        <is>
          <t>First HRM task tracker (HRM_TASK_TRACKER.md / .csv).</t>
        </is>
      </c>
      <c r="E13" s="14" t="inlineStr">
        <is>
          <t>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2026-10-23T07:01:29Z</dcterms:created>
  <dcterms:modified xsi:type="dcterms:W3CDTF">2026-10-23T07:01:29Z</dcterms:modified>
</cp:coreProperties>
</file>