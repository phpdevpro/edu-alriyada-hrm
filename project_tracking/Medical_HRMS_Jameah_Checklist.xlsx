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ill>
        <patternFill patternType="solid">
          <fgColor rgb="00FCF2C9"/>
        </patternFill>
      </fill>
    </dxf>
    <dxf>
      <fill>
        <patternFill patternType="solid">
          <fgColor rgb="00DDF0E6"/>
        </patternFill>
      </fill>
    </dxf>
    <dxf>
      <fill>
        <patternFill patternType="solid">
          <fgColor rgb="00FBE1DE"/>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COUNTIF(Checklist!$B$2:$B$137,$A5)</f>
        <v/>
      </c>
      <c r="C5" s="7">
        <f>COUNTIFS(Checklist!$B$2:$B$137,$A5,Checklist!$H$2:$H$137,C$4)</f>
        <v/>
      </c>
      <c r="D5" s="7">
        <f>COUNTIFS(Checklist!$B$2:$B$137,$A5,Checklist!$H$2:$H$137,D$4)</f>
        <v/>
      </c>
      <c r="E5" s="7">
        <f>COUNTIFS(Checklist!$B$2:$B$137,$A5,Checklist!$H$2:$H$137,E$4)</f>
        <v/>
      </c>
      <c r="F5" s="7">
        <f>COUNTIFS(Checklist!$B$2:$B$137,$A5,Checklist!$H$2:$H$137,F$4)</f>
        <v/>
      </c>
    </row>
    <row r="6">
      <c r="A6" s="7" t="inlineStr">
        <is>
          <t>2. Check on the live server</t>
        </is>
      </c>
      <c r="B6" s="7">
        <f>COUNTIF(Checklist!$B$2:$B$137,$A6)</f>
        <v/>
      </c>
      <c r="C6" s="7">
        <f>COUNTIFS(Checklist!$B$2:$B$137,$A6,Checklist!$H$2:$H$137,C$4)</f>
        <v/>
      </c>
      <c r="D6" s="7">
        <f>COUNTIFS(Checklist!$B$2:$B$137,$A6,Checklist!$H$2:$H$137,D$4)</f>
        <v/>
      </c>
      <c r="E6" s="7">
        <f>COUNTIFS(Checklist!$B$2:$B$137,$A6,Checklist!$H$2:$H$137,E$4)</f>
        <v/>
      </c>
      <c r="F6" s="7">
        <f>COUNTIFS(Checklist!$B$2:$B$137,$A6,Checklist!$H$2:$H$137,F$4)</f>
        <v/>
      </c>
    </row>
    <row r="7">
      <c r="A7" s="7" t="inlineStr">
        <is>
          <t>3. Decisions</t>
        </is>
      </c>
      <c r="B7" s="7">
        <f>COUNTIF(Checklist!$B$2:$B$137,$A7)</f>
        <v/>
      </c>
      <c r="C7" s="7">
        <f>COUNTIFS(Checklist!$B$2:$B$137,$A7,Checklist!$H$2:$H$137,C$4)</f>
        <v/>
      </c>
      <c r="D7" s="7">
        <f>COUNTIFS(Checklist!$B$2:$B$137,$A7,Checklist!$H$2:$H$137,D$4)</f>
        <v/>
      </c>
      <c r="E7" s="7">
        <f>COUNTIFS(Checklist!$B$2:$B$137,$A7,Checklist!$H$2:$H$137,E$4)</f>
        <v/>
      </c>
      <c r="F7" s="7">
        <f>COUNTIFS(Checklist!$B$2:$B$137,$A7,Checklist!$H$2:$H$137,F$4)</f>
        <v/>
      </c>
    </row>
    <row r="8">
      <c r="A8" s="7" t="inlineStr">
        <is>
          <t>4. HR data</t>
        </is>
      </c>
      <c r="B8" s="7">
        <f>COUNTIF(Checklist!$B$2:$B$137,$A8)</f>
        <v/>
      </c>
      <c r="C8" s="7">
        <f>COUNTIFS(Checklist!$B$2:$B$137,$A8,Checklist!$H$2:$H$137,C$4)</f>
        <v/>
      </c>
      <c r="D8" s="7">
        <f>COUNTIFS(Checklist!$B$2:$B$137,$A8,Checklist!$H$2:$H$137,D$4)</f>
        <v/>
      </c>
      <c r="E8" s="7">
        <f>COUNTIFS(Checklist!$B$2:$B$137,$A8,Checklist!$H$2:$H$137,E$4)</f>
        <v/>
      </c>
      <c r="F8" s="7">
        <f>COUNTIFS(Checklist!$B$2:$B$137,$A8,Checklist!$H$2:$H$137,F$4)</f>
        <v/>
      </c>
    </row>
    <row r="9">
      <c r="A9" s="7" t="inlineStr">
        <is>
          <t>5. Reviews and testing</t>
        </is>
      </c>
      <c r="B9" s="7">
        <f>COUNTIF(Checklist!$B$2:$B$137,$A9)</f>
        <v/>
      </c>
      <c r="C9" s="7">
        <f>COUNTIFS(Checklist!$B$2:$B$137,$A9,Checklist!$H$2:$H$137,C$4)</f>
        <v/>
      </c>
      <c r="D9" s="7">
        <f>COUNTIFS(Checklist!$B$2:$B$137,$A9,Checklist!$H$2:$H$137,D$4)</f>
        <v/>
      </c>
      <c r="E9" s="7">
        <f>COUNTIFS(Checklist!$B$2:$B$137,$A9,Checklist!$H$2:$H$137,E$4)</f>
        <v/>
      </c>
      <c r="F9" s="7">
        <f>COUNTIFS(Checklist!$B$2:$B$137,$A9,Checklist!$H$2:$H$137,F$4)</f>
        <v/>
      </c>
    </row>
    <row r="10">
      <c r="A10" s="7" t="inlineStr">
        <is>
          <t>6. Team and repository</t>
        </is>
      </c>
      <c r="B10" s="7">
        <f>COUNTIF(Checklist!$B$2:$B$137,$A10)</f>
        <v/>
      </c>
      <c r="C10" s="7">
        <f>COUNTIFS(Checklist!$B$2:$B$137,$A10,Checklist!$H$2:$H$137,C$4)</f>
        <v/>
      </c>
      <c r="D10" s="7">
        <f>COUNTIFS(Checklist!$B$2:$B$137,$A10,Checklist!$H$2:$H$137,D$4)</f>
        <v/>
      </c>
      <c r="E10" s="7">
        <f>COUNTIFS(Checklist!$B$2:$B$137,$A10,Checklist!$H$2:$H$137,E$4)</f>
        <v/>
      </c>
      <c r="F10" s="7">
        <f>COUNTIFS(Checklist!$B$2:$B$137,$A10,Checklist!$H$2:$H$137,F$4)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Check the Leave setup check on the live server for how many have none.</t>
        </is>
      </c>
      <c r="E25" s="7" t="inlineStr">
        <is>
          <t>HR</t>
        </is>
      </c>
      <c r="F25" s="7" t="inlineStr">
        <is>
          <t>Before UAT</t>
        </is>
      </c>
      <c r="G25" s="7" t="inlineStr">
        <is>
          <t>HR-69</t>
        </is>
      </c>
      <c r="H25" s="11" t="inlineStr">
        <is>
          <t>Open</t>
        </is>
      </c>
      <c r="I25" s="11" t="inlineStr"/>
      <c r="J25" s="7" t="inlineStr">
        <is>
          <t>22 Oct 2026</t>
        </is>
      </c>
      <c r="K25" s="7" t="inlineStr">
        <is>
          <t>23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Education up to date</t>
        </is>
      </c>
      <c r="D34" s="10" t="inlineStr">
        <is>
          <t>On the development machine the Education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21 Oct 2026</t>
        </is>
      </c>
      <c r="L34" s="12" t="inlineStr"/>
    </row>
    <row r="35">
      <c r="A35" s="8" t="inlineStr">
        <is>
          <t>CL-34</t>
        </is>
      </c>
      <c r="B35" s="7" t="inlineStr">
        <is>
          <t>6. Team and repository</t>
        </is>
      </c>
      <c r="C35" s="10" t="inlineStr">
        <is>
          <t>Delete the merged branches on GitHub</t>
        </is>
      </c>
      <c r="D35" s="10" t="inlineStr">
        <is>
          <t>After UAT: feature/uat-2026-10-22, feature/hr-portal-design, feature/jameah-ministry-views, fix/hrm-e2e-approval-permission-bugs, ministry-lookup, employee-applicant (all merged into develop; their history stays in develop).</t>
        </is>
      </c>
      <c r="E35" s="7" t="inlineStr">
        <is>
          <t>Project owner</t>
        </is>
      </c>
      <c r="F35" s="7" t="inlineStr">
        <is>
          <t>After UAT</t>
        </is>
      </c>
      <c r="G35" s="7" t="inlineStr">
        <is>
          <t>HR-71</t>
        </is>
      </c>
      <c r="H35" s="11" t="inlineStr">
        <is>
          <t>Open</t>
        </is>
      </c>
      <c r="I35" s="11" t="inlineStr"/>
      <c r="J35" s="7" t="inlineStr">
        <is>
          <t>23 Oct 2026</t>
        </is>
      </c>
      <c r="K35" s="7" t="inlineStr">
        <is>
          <t>23 Oct 2026</t>
        </is>
      </c>
      <c r="L35" s="12" t="inlineStr"/>
    </row>
    <row r="36">
      <c r="A36" s="8" t="inlineStr">
        <is>
          <t>CL-35</t>
        </is>
      </c>
      <c r="B36" s="7" t="inlineStr">
        <is>
          <t>6. Team and repository</t>
        </is>
      </c>
      <c r="C36" s="10" t="inlineStr">
        <is>
          <t>Assign the open tasks</t>
        </is>
      </c>
      <c r="D36" s="10" t="inlineStr">
        <is>
          <t>Task Tracker, Tasks sheet: put a team member in the Owner column of each open task (e.g. HR-73, HR-16, HR-17, HR-25, JM-15, JM-19).</t>
        </is>
      </c>
      <c r="E36" s="7" t="inlineStr">
        <is>
          <t>Project owner</t>
        </is>
      </c>
      <c r="F36" s="7" t="inlineStr">
        <is>
          <t>Now</t>
        </is>
      </c>
      <c r="G36" s="7" t="inlineStr">
        <is>
          <t>HR-73</t>
        </is>
      </c>
      <c r="H36" s="11" t="inlineStr">
        <is>
          <t>Open</t>
        </is>
      </c>
      <c r="I36" s="11" t="inlineStr"/>
      <c r="J36" s="7" t="inlineStr">
        <is>
          <t>23 Oct 2026</t>
        </is>
      </c>
      <c r="K36" s="7" t="inlineStr">
        <is>
          <t>23 Oct 2026</t>
        </is>
      </c>
      <c r="L36" s="12" t="inlineStr"/>
    </row>
    <row r="37">
      <c r="A37" s="8" t="inlineStr">
        <is>
          <t>CL-36</t>
        </is>
      </c>
      <c r="B37" s="7" t="inlineStr">
        <is>
          <t>6. Team and repository</t>
        </is>
      </c>
      <c r="C37" s="10" t="inlineStr">
        <is>
          <t>Checks before every release</t>
        </is>
      </c>
      <c r="D37" s="10" t="inlineStr">
        <is>
          <t>python3 tests/checks/files.py; fx.py tests/checks/site.py; python3 tests/checks/api_methods.py; then the browser suite (tests/e2e/README.md). All must pass.</t>
        </is>
      </c>
      <c r="E37" s="7" t="inlineStr">
        <is>
          <t>Developer (Abdul Hakeem)</t>
        </is>
      </c>
      <c r="F37" s="7" t="inlineStr">
        <is>
          <t>Every release</t>
        </is>
      </c>
      <c r="G37" s="7" t="inlineStr">
        <is>
          <t>HR-72</t>
        </is>
      </c>
      <c r="H37" s="11" t="inlineStr">
        <is>
          <t>Open</t>
        </is>
      </c>
      <c r="I37" s="11" t="inlineStr"/>
      <c r="J37" s="7" t="inlineStr">
        <is>
          <t>23 Oct 2026</t>
        </is>
      </c>
      <c r="K37" s="7" t="inlineStr">
        <is>
          <t>23 Oct 2026</t>
        </is>
      </c>
      <c r="L37" s="12" t="inlineStr"/>
    </row>
  </sheetData>
  <autoFilter ref="A1:L37"/>
  <conditionalFormatting sqref="H2:H137">
    <cfRule type="expression" priority="1" dxfId="0">
      <formula>$H2="Open"</formula>
    </cfRule>
    <cfRule type="expression" priority="2" dxfId="1">
      <formula>$H2="Done"</formula>
    </cfRule>
    <cfRule type="expression" priority="3" dxfId="2">
      <formula>$H2="Blocked"</formula>
    </cfRule>
    <cfRule type="expression" priority="4" dxfId="3">
      <formula>$H2="Not needed"</formula>
    </cfRule>
  </conditionalFormatting>
  <dataValidations count="1">
    <dataValidation sqref="H2:H137"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Medical HRMS</t>
        </is>
      </c>
      <c r="C2" s="10" t="inlineStr">
        <is>
          <t>HR-58, HR-69, HR-71 - HR-73, B-45 - B-51, CL-01, CL-30, CL-34 - CL-36, TC-ERR-06 - TC-ERR-09, TC-SEC-10</t>
        </is>
      </c>
      <c r="D2"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2" s="7" t="inlineStr">
        <is>
          <t>Abdul Hakeem</t>
        </is>
      </c>
    </row>
    <row r="3">
      <c r="A3" s="7" t="inlineStr">
        <is>
          <t>22 Oct 2026</t>
        </is>
      </c>
      <c r="B3" s="7" t="inlineStr">
        <is>
          <t>Medical HRMS</t>
        </is>
      </c>
      <c r="C3" s="10" t="inlineStr">
        <is>
          <t>HR-58, HR-70, JM-05, JM-19, B-42 – B-44, TC-REC-13, TC-REC-14</t>
        </is>
      </c>
      <c r="D3"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3" s="7" t="inlineStr">
        <is>
          <t>Abdul Hakeem</t>
        </is>
      </c>
    </row>
    <row r="4">
      <c r="A4" s="7" t="inlineStr">
        <is>
          <t>22 Oct 2026</t>
        </is>
      </c>
      <c r="B4" s="7" t="inlineStr">
        <is>
          <t>Medical HRMS</t>
        </is>
      </c>
      <c r="C4" s="10" t="inlineStr">
        <is>
          <t>HR-08, HR-09, HR-19, HR-20, HR-22, HR-68, HR-69, B-36 – B-40, DEC-14, CL-28 – CL-33</t>
        </is>
      </c>
      <c r="D4"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4" s="7" t="inlineStr">
        <is>
          <t>Abdul Hakeem</t>
        </is>
      </c>
    </row>
    <row r="5">
      <c r="A5" s="7" t="inlineStr">
        <is>
          <t>22 Oct 2026</t>
        </is>
      </c>
      <c r="B5" s="7" t="inlineStr">
        <is>
          <t>Testing</t>
        </is>
      </c>
      <c r="C5" s="10" t="inlineStr">
        <is>
          <t>HR-67, B-41</t>
        </is>
      </c>
      <c r="D5"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5" s="7" t="inlineStr">
        <is>
          <t>Abdul Hakeem</t>
        </is>
      </c>
    </row>
    <row r="6">
      <c r="A6" s="7" t="inlineStr">
        <is>
          <t>21 Oct 2026</t>
        </is>
      </c>
      <c r="B6" s="7" t="inlineStr">
        <is>
          <t>Medical HRMS + Jameah</t>
        </is>
      </c>
      <c r="C6" s="10" t="inlineStr">
        <is>
          <t>HR-49, HR-50, HR-51, HR-65, JM-14, B-35, DEC-12, DEC-13</t>
        </is>
      </c>
      <c r="D6"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6" s="7" t="inlineStr">
        <is>
          <t>Abdul Hakeem</t>
        </is>
      </c>
    </row>
    <row r="7">
      <c r="A7" s="7" t="inlineStr">
        <is>
          <t>21 Oct 2026</t>
        </is>
      </c>
      <c r="B7" s="7" t="inlineStr">
        <is>
          <t>Medical HRMS</t>
        </is>
      </c>
      <c r="C7" s="10" t="inlineStr">
        <is>
          <t>HR-66</t>
        </is>
      </c>
      <c r="D7" s="10" t="inlineStr">
        <is>
          <t>HR Portal and Employee Portal in the new college portal design (menu, top bar, EN/AR, dark mode); Arabic translations for these pages.</t>
        </is>
      </c>
      <c r="E7" s="7" t="inlineStr">
        <is>
          <t>Abdul Hakeem</t>
        </is>
      </c>
    </row>
    <row r="8">
      <c r="A8" s="7" t="inlineStr">
        <is>
          <t>21 Oct 2026</t>
        </is>
      </c>
      <c r="B8" s="7" t="inlineStr">
        <is>
          <t>Medical HRMS + Jameah</t>
        </is>
      </c>
      <c r="C8" s="10" t="inlineStr">
        <is>
          <t>HR-12, HR-31, HR-32, HR-45, HR-46, HR-59 – HR-64, JM-17, JM-18, B-24 – B-34</t>
        </is>
      </c>
      <c r="D8"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8" s="7" t="inlineStr">
        <is>
          <t>Abdul Hakeem</t>
        </is>
      </c>
    </row>
    <row r="9">
      <c r="A9" s="7" t="inlineStr">
        <is>
          <t>20 Oct 2026</t>
        </is>
      </c>
      <c r="B9" s="7" t="inlineStr">
        <is>
          <t>Medical HRMS + Jameah</t>
        </is>
      </c>
      <c r="C9" s="10" t="inlineStr">
        <is>
          <t>HR-07 – HR-09, HR-13 – HR-15, HR-19, HR-22, HR-26, HR-36 – HR-44, JM-02 – JM-07, B-12 – B-23</t>
        </is>
      </c>
      <c r="D9" s="10" t="inlineStr">
        <is>
          <t>Jameah Employee (5) and Student (10) views built and verified value by value; Academic Presence; browser test round 2 fixes.</t>
        </is>
      </c>
      <c r="E9" s="7" t="inlineStr">
        <is>
          <t>Abdul Hakeem</t>
        </is>
      </c>
    </row>
    <row r="10">
      <c r="A10" s="7" t="inlineStr">
        <is>
          <t>19 Oct 2026</t>
        </is>
      </c>
      <c r="B10" s="7" t="inlineStr">
        <is>
          <t>Medical HRMS + Jameah</t>
        </is>
      </c>
      <c r="C10" s="10" t="inlineStr">
        <is>
          <t>HR-02, HR-05, HR-06, HR-24, HR-27, HR-33 – HR-35, JM-01, B-01 – B-11</t>
        </is>
      </c>
      <c r="D10" s="10" t="inlineStr">
        <is>
          <t>Browser end-to-end test round 1 and fixes (approvals, recruitment security, Ministry identity rules); Instructor data sheet; Jameah research.</t>
        </is>
      </c>
      <c r="E10" s="7" t="inlineStr">
        <is>
          <t>Abdul Hakeem</t>
        </is>
      </c>
    </row>
    <row r="11">
      <c r="A11" s="7" t="inlineStr">
        <is>
          <t>1 Oct 2026</t>
        </is>
      </c>
      <c r="B11" s="7" t="inlineStr">
        <is>
          <t>Medical HRMS</t>
        </is>
      </c>
      <c r="C11" s="10" t="inlineStr">
        <is>
          <t>HR-01 – HR-32</t>
        </is>
      </c>
      <c r="D11" s="10" t="inlineStr">
        <is>
          <t>First HRM task tracker (HRM_TASK_TRACKER.md / .csv).</t>
        </is>
      </c>
      <c r="E11"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2026-10-23T04:07:13Z</dcterms:created>
  <dcterms:modified xsi:type="dcterms:W3CDTF">2026-10-23T04:07:13Z</dcterms:modified>
</cp:coreProperties>
</file>