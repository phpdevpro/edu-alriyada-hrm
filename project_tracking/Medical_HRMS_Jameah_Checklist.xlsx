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'Checklist'!$A$1:$L$43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5">
    <dxf>
      <font>
        <b val="1"/>
        <color rgb="00FFFFFF"/>
      </font>
      <fill>
        <patternFill patternType="solid">
          <fgColor rgb="00EF6C00"/>
          <bgColor rgb="00EF6C00"/>
        </patternFill>
      </fill>
    </dxf>
    <dxf>
      <font>
        <b val="1"/>
        <color rgb="00FFFFFF"/>
      </font>
      <fill>
        <patternFill patternType="solid">
          <fgColor rgb="001565C0"/>
          <bgColor rgb="001565C0"/>
        </patternFill>
      </fill>
    </dxf>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B0BEC5"/>
          <bgColor rgb="00B0BEC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27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32" customWidth="1" min="1" max="1"/>
    <col width="8" customWidth="1" min="2" max="2"/>
    <col width="11" customWidth="1" min="3" max="3"/>
    <col width="11" customWidth="1" min="4" max="4"/>
    <col width="11" customWidth="1" min="5" max="5"/>
    <col width="11" customWidth="1" min="6" max="6"/>
    <col width="11" customWidth="1" min="7" max="7"/>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In progress</t>
        </is>
      </c>
      <c r="E4" s="6" t="inlineStr">
        <is>
          <t>Done</t>
        </is>
      </c>
      <c r="F4" s="6" t="inlineStr">
        <is>
          <t>Blocked</t>
        </is>
      </c>
      <c r="G4" s="6" t="inlineStr">
        <is>
          <t>Not needed</t>
        </is>
      </c>
    </row>
    <row r="5">
      <c r="A5" s="7" t="inlineStr">
        <is>
          <t>1. Deploy to the live server</t>
        </is>
      </c>
      <c r="B5" s="7">
        <f>COUNTIF(Checklist!$B$2:$B$143,$A5)</f>
        <v/>
      </c>
      <c r="C5" s="7">
        <f>COUNTIFS(Checklist!$B$2:$B$143,$A5,Checklist!$H$2:$H$143,C$4)</f>
        <v/>
      </c>
      <c r="D5" s="7">
        <f>COUNTIFS(Checklist!$B$2:$B$143,$A5,Checklist!$H$2:$H$143,D$4)</f>
        <v/>
      </c>
      <c r="E5" s="7">
        <f>COUNTIFS(Checklist!$B$2:$B$143,$A5,Checklist!$H$2:$H$143,E$4)</f>
        <v/>
      </c>
      <c r="F5" s="7">
        <f>COUNTIFS(Checklist!$B$2:$B$143,$A5,Checklist!$H$2:$H$143,F$4)</f>
        <v/>
      </c>
      <c r="G5" s="7">
        <f>COUNTIFS(Checklist!$B$2:$B$143,$A5,Checklist!$H$2:$H$143,G$4)</f>
        <v/>
      </c>
    </row>
    <row r="6">
      <c r="A6" s="7" t="inlineStr">
        <is>
          <t>2. Check on the live server</t>
        </is>
      </c>
      <c r="B6" s="7">
        <f>COUNTIF(Checklist!$B$2:$B$143,$A6)</f>
        <v/>
      </c>
      <c r="C6" s="7">
        <f>COUNTIFS(Checklist!$B$2:$B$143,$A6,Checklist!$H$2:$H$143,C$4)</f>
        <v/>
      </c>
      <c r="D6" s="7">
        <f>COUNTIFS(Checklist!$B$2:$B$143,$A6,Checklist!$H$2:$H$143,D$4)</f>
        <v/>
      </c>
      <c r="E6" s="7">
        <f>COUNTIFS(Checklist!$B$2:$B$143,$A6,Checklist!$H$2:$H$143,E$4)</f>
        <v/>
      </c>
      <c r="F6" s="7">
        <f>COUNTIFS(Checklist!$B$2:$B$143,$A6,Checklist!$H$2:$H$143,F$4)</f>
        <v/>
      </c>
      <c r="G6" s="7">
        <f>COUNTIFS(Checklist!$B$2:$B$143,$A6,Checklist!$H$2:$H$143,G$4)</f>
        <v/>
      </c>
    </row>
    <row r="7">
      <c r="A7" s="7" t="inlineStr">
        <is>
          <t>3. Decisions</t>
        </is>
      </c>
      <c r="B7" s="7">
        <f>COUNTIF(Checklist!$B$2:$B$143,$A7)</f>
        <v/>
      </c>
      <c r="C7" s="7">
        <f>COUNTIFS(Checklist!$B$2:$B$143,$A7,Checklist!$H$2:$H$143,C$4)</f>
        <v/>
      </c>
      <c r="D7" s="7">
        <f>COUNTIFS(Checklist!$B$2:$B$143,$A7,Checklist!$H$2:$H$143,D$4)</f>
        <v/>
      </c>
      <c r="E7" s="7">
        <f>COUNTIFS(Checklist!$B$2:$B$143,$A7,Checklist!$H$2:$H$143,E$4)</f>
        <v/>
      </c>
      <c r="F7" s="7">
        <f>COUNTIFS(Checklist!$B$2:$B$143,$A7,Checklist!$H$2:$H$143,F$4)</f>
        <v/>
      </c>
      <c r="G7" s="7">
        <f>COUNTIFS(Checklist!$B$2:$B$143,$A7,Checklist!$H$2:$H$143,G$4)</f>
        <v/>
      </c>
    </row>
    <row r="8">
      <c r="A8" s="7" t="inlineStr">
        <is>
          <t>4. HR data</t>
        </is>
      </c>
      <c r="B8" s="7">
        <f>COUNTIF(Checklist!$B$2:$B$143,$A8)</f>
        <v/>
      </c>
      <c r="C8" s="7">
        <f>COUNTIFS(Checklist!$B$2:$B$143,$A8,Checklist!$H$2:$H$143,C$4)</f>
        <v/>
      </c>
      <c r="D8" s="7">
        <f>COUNTIFS(Checklist!$B$2:$B$143,$A8,Checklist!$H$2:$H$143,D$4)</f>
        <v/>
      </c>
      <c r="E8" s="7">
        <f>COUNTIFS(Checklist!$B$2:$B$143,$A8,Checklist!$H$2:$H$143,E$4)</f>
        <v/>
      </c>
      <c r="F8" s="7">
        <f>COUNTIFS(Checklist!$B$2:$B$143,$A8,Checklist!$H$2:$H$143,F$4)</f>
        <v/>
      </c>
      <c r="G8" s="7">
        <f>COUNTIFS(Checklist!$B$2:$B$143,$A8,Checklist!$H$2:$H$143,G$4)</f>
        <v/>
      </c>
    </row>
    <row r="9">
      <c r="A9" s="7" t="inlineStr">
        <is>
          <t>5. Reviews and testing</t>
        </is>
      </c>
      <c r="B9" s="7">
        <f>COUNTIF(Checklist!$B$2:$B$143,$A9)</f>
        <v/>
      </c>
      <c r="C9" s="7">
        <f>COUNTIFS(Checklist!$B$2:$B$143,$A9,Checklist!$H$2:$H$143,C$4)</f>
        <v/>
      </c>
      <c r="D9" s="7">
        <f>COUNTIFS(Checklist!$B$2:$B$143,$A9,Checklist!$H$2:$H$143,D$4)</f>
        <v/>
      </c>
      <c r="E9" s="7">
        <f>COUNTIFS(Checklist!$B$2:$B$143,$A9,Checklist!$H$2:$H$143,E$4)</f>
        <v/>
      </c>
      <c r="F9" s="7">
        <f>COUNTIFS(Checklist!$B$2:$B$143,$A9,Checklist!$H$2:$H$143,F$4)</f>
        <v/>
      </c>
      <c r="G9" s="7">
        <f>COUNTIFS(Checklist!$B$2:$B$143,$A9,Checklist!$H$2:$H$143,G$4)</f>
        <v/>
      </c>
    </row>
    <row r="10">
      <c r="A10" s="7" t="inlineStr">
        <is>
          <t>6. Team and repository</t>
        </is>
      </c>
      <c r="B10" s="7">
        <f>COUNTIF(Checklist!$B$2:$B$143,$A10)</f>
        <v/>
      </c>
      <c r="C10" s="7">
        <f>COUNTIFS(Checklist!$B$2:$B$143,$A10,Checklist!$H$2:$H$143,C$4)</f>
        <v/>
      </c>
      <c r="D10" s="7">
        <f>COUNTIFS(Checklist!$B$2:$B$143,$A10,Checklist!$H$2:$H$143,D$4)</f>
        <v/>
      </c>
      <c r="E10" s="7">
        <f>COUNTIFS(Checklist!$B$2:$B$143,$A10,Checklist!$H$2:$H$143,E$4)</f>
        <v/>
      </c>
      <c r="F10" s="7">
        <f>COUNTIFS(Checklist!$B$2:$B$143,$A10,Checklist!$H$2:$H$143,F$4)</f>
        <v/>
      </c>
      <c r="G10" s="7">
        <f>COUNTIFS(Checklist!$B$2:$B$143,$A10,Checklist!$H$2:$H$143,G$4)</f>
        <v/>
      </c>
    </row>
    <row r="11">
      <c r="A11" s="8" t="inlineStr">
        <is>
          <t>All</t>
        </is>
      </c>
      <c r="B11" s="8">
        <f>SUM(B5:B10)</f>
        <v/>
      </c>
      <c r="C11" s="8">
        <f>SUM(C5:C10)</f>
        <v/>
      </c>
      <c r="D11" s="8">
        <f>SUM(D5:D10)</f>
        <v/>
      </c>
      <c r="E11" s="8">
        <f>SUM(E5:E10)</f>
        <v/>
      </c>
      <c r="F11" s="8">
        <f>SUM(F5:F10)</f>
        <v/>
      </c>
      <c r="G11" s="8">
        <f>SUM(G5:G10)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develop</t>
        </is>
      </c>
      <c r="D2" s="10" t="inlineStr">
        <is>
          <t>In apps/medical_hrms on the server: git fetch, then check out develop (every branch merged into it on 23 Oct; see the latest Change Log line).</t>
        </is>
      </c>
      <c r="E2" s="7" t="inlineStr">
        <is>
          <t>Server admin</t>
        </is>
      </c>
      <c r="F2" s="7" t="inlineStr">
        <is>
          <t>Before UAT</t>
        </is>
      </c>
      <c r="G2" s="7" t="inlineStr">
        <is>
          <t>HR-58, HR-71</t>
        </is>
      </c>
      <c r="H2" s="11" t="inlineStr">
        <is>
          <t>Open</t>
        </is>
      </c>
      <c r="I2" s="11" t="inlineStr"/>
      <c r="J2" s="7" t="inlineStr">
        <is>
          <t>21 Oct 2026</t>
        </is>
      </c>
      <c r="K2" s="7" t="inlineStr">
        <is>
          <t>23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CL-41</t>
        </is>
      </c>
      <c r="B13" s="7" t="inlineStr">
        <is>
          <t>2. Check on the live server</t>
        </is>
      </c>
      <c r="C13" s="10" t="inlineStr">
        <is>
          <t>Notification e-mails</t>
        </is>
      </c>
      <c r="D13" s="10" t="inlineStr">
        <is>
          <t>After the e-mail account works (HR-47): an employee sends a request and HR rejects it with a reason; HR and the employee each get the e-mail and its link opens the request (TC-ESS-23); the same for a leave application (TC-LV-19). The text and links were already checked on the test copy with a local mail catcher (27 Oct), so this is about delivery from the college account. Leave e-mails are sent in the name of the person who acted.</t>
        </is>
      </c>
      <c r="E13" s="7" t="inlineStr">
        <is>
          <t>Testing team</t>
        </is>
      </c>
      <c r="F13" s="7" t="inlineStr">
        <is>
          <t>After HR-47</t>
        </is>
      </c>
      <c r="G13" s="7" t="inlineStr">
        <is>
          <t>HR-25, HR-47</t>
        </is>
      </c>
      <c r="H13" s="11" t="inlineStr">
        <is>
          <t>Open</t>
        </is>
      </c>
      <c r="I13" s="11" t="inlineStr"/>
      <c r="J13" s="7" t="inlineStr">
        <is>
          <t>27 Oct 2026</t>
        </is>
      </c>
      <c r="K13" s="7" t="inlineStr">
        <is>
          <t>27 Oct 2026</t>
        </is>
      </c>
      <c r="L13" s="12" t="inlineStr"/>
    </row>
    <row r="14">
      <c r="A14" s="8" t="inlineStr">
        <is>
          <t>CL-12</t>
        </is>
      </c>
      <c r="B14" s="7" t="inlineStr">
        <is>
          <t>3. Decisions</t>
        </is>
      </c>
      <c r="C14" s="10" t="inlineStr">
        <is>
          <t>Ministry view and column names</t>
        </is>
      </c>
      <c r="D14" s="10" t="inlineStr">
        <is>
          <t>Ask which names the Jameah agent reads (HTML or schema V0.1), including the HTML spellings EnglishFourhtName and Summury.</t>
        </is>
      </c>
      <c r="E14" s="7" t="inlineStr">
        <is>
          <t>Ministry contact (Ms. Najah)</t>
        </is>
      </c>
      <c r="F14" s="7" t="inlineStr">
        <is>
          <t>Before Jameah go-live</t>
        </is>
      </c>
      <c r="G14" s="7" t="inlineStr">
        <is>
          <t>DEC-01</t>
        </is>
      </c>
      <c r="H14" s="11" t="inlineStr">
        <is>
          <t>Open</t>
        </is>
      </c>
      <c r="I14" s="11" t="inlineStr"/>
      <c r="J14" s="7" t="inlineStr">
        <is>
          <t>21 Oct 2026</t>
        </is>
      </c>
      <c r="K14" s="7" t="inlineStr">
        <is>
          <t>21 Oct 2026</t>
        </is>
      </c>
      <c r="L14" s="12" t="inlineStr"/>
    </row>
    <row r="15">
      <c r="A15" s="8" t="inlineStr">
        <is>
          <t>CL-13</t>
        </is>
      </c>
      <c r="B15" s="7" t="inlineStr">
        <is>
          <t>3. Decisions</t>
        </is>
      </c>
      <c r="C15" s="10" t="inlineStr">
        <is>
          <t>Read-only database account for the Ministry</t>
        </is>
      </c>
      <c r="D15" s="10" t="inlineStr">
        <is>
          <t>Create it with medical_hrms.jameah.views.grant_statements and give the Ministry the connection details.</t>
        </is>
      </c>
      <c r="E15" s="7" t="inlineStr">
        <is>
          <t>Server admin</t>
        </is>
      </c>
      <c r="F15" s="7" t="inlineStr">
        <is>
          <t>Before Jameah go-live</t>
        </is>
      </c>
      <c r="G15" s="7" t="inlineStr">
        <is>
          <t>JM-08</t>
        </is>
      </c>
      <c r="H15" s="11" t="inlineStr">
        <is>
          <t>Open</t>
        </is>
      </c>
      <c r="I15" s="11" t="inlineStr"/>
      <c r="J15" s="7" t="inlineStr">
        <is>
          <t>21 Oct 2026</t>
        </is>
      </c>
      <c r="K15" s="7" t="inlineStr">
        <is>
          <t>21 Oct 2026</t>
        </is>
      </c>
      <c r="L15" s="12" t="inlineStr"/>
    </row>
    <row r="16">
      <c r="A16" s="8" t="inlineStr">
        <is>
          <t>CL-14</t>
        </is>
      </c>
      <c r="B16" s="7" t="inlineStr">
        <is>
          <t>3. Decisions</t>
        </is>
      </c>
      <c r="C16" s="10" t="inlineStr">
        <is>
          <t>Jameah Settings and Student code decisions</t>
        </is>
      </c>
      <c r="D16" s="10" t="inlineStr">
        <is>
          <t>Answers for DEC-02 - DEC-07, entered in Jameah Settings and the Code Map.</t>
        </is>
      </c>
      <c r="E16" s="7" t="inlineStr">
        <is>
          <t>Academic Affairs</t>
        </is>
      </c>
      <c r="F16" s="7" t="inlineStr">
        <is>
          <t>Before Jameah go-live</t>
        </is>
      </c>
      <c r="G16" s="7" t="inlineStr">
        <is>
          <t>DEC-02 - DEC-07</t>
        </is>
      </c>
      <c r="H16" s="11" t="inlineStr">
        <is>
          <t>Open</t>
        </is>
      </c>
      <c r="I16" s="11" t="inlineStr"/>
      <c r="J16" s="7" t="inlineStr">
        <is>
          <t>21 Oct 2026</t>
        </is>
      </c>
      <c r="K16" s="7" t="inlineStr">
        <is>
          <t>21 Oct 2026</t>
        </is>
      </c>
      <c r="L16" s="12" t="inlineStr"/>
    </row>
    <row r="17">
      <c r="A17" s="8" t="inlineStr">
        <is>
          <t>CL-15</t>
        </is>
      </c>
      <c r="B17" s="7" t="inlineStr">
        <is>
          <t>3. Decisions</t>
        </is>
      </c>
      <c r="C17" s="10" t="inlineStr">
        <is>
          <t>Credit-hour definitions</t>
        </is>
      </c>
      <c r="D17" s="10" t="inlineStr">
        <is>
          <t>Confirm Registered = this term's hours; Passed = earned + bridged plan hours.</t>
        </is>
      </c>
      <c r="E17" s="7" t="inlineStr">
        <is>
          <t>Academic Affairs</t>
        </is>
      </c>
      <c r="F17" s="7" t="inlineStr">
        <is>
          <t>Before Jameah go-live</t>
        </is>
      </c>
      <c r="G17" s="7" t="inlineStr">
        <is>
          <t>DEC-11</t>
        </is>
      </c>
      <c r="H17" s="11" t="inlineStr">
        <is>
          <t>Open</t>
        </is>
      </c>
      <c r="I17" s="11" t="inlineStr"/>
      <c r="J17" s="7" t="inlineStr">
        <is>
          <t>21 Oct 2026</t>
        </is>
      </c>
      <c r="K17" s="7" t="inlineStr">
        <is>
          <t>21 Oct 2026</t>
        </is>
      </c>
      <c r="L17" s="12" t="inlineStr"/>
    </row>
    <row r="18">
      <c r="A18" s="8" t="inlineStr">
        <is>
          <t>CL-16</t>
        </is>
      </c>
      <c r="B18" s="7" t="inlineStr">
        <is>
          <t>3. Decisions</t>
        </is>
      </c>
      <c r="C18" s="10" t="inlineStr">
        <is>
          <t>Which faculty are sent</t>
        </is>
      </c>
      <c r="D18" s="10" t="inlineStr">
        <is>
          <t>Active Instructors only (as built), or also former (Left) ones.</t>
        </is>
      </c>
      <c r="E18" s="7" t="inlineStr">
        <is>
          <t>Academic Affairs</t>
        </is>
      </c>
      <c r="F18" s="7" t="inlineStr">
        <is>
          <t>Before Jameah go-live</t>
        </is>
      </c>
      <c r="G18" s="7" t="inlineStr">
        <is>
          <t>DEC-12</t>
        </is>
      </c>
      <c r="H18" s="11" t="inlineStr">
        <is>
          <t>Open</t>
        </is>
      </c>
      <c r="I18" s="11" t="inlineStr"/>
      <c r="J18" s="7" t="inlineStr">
        <is>
          <t>21 Oct 2026</t>
        </is>
      </c>
      <c r="K18" s="7" t="inlineStr">
        <is>
          <t>21 Oct 2026</t>
        </is>
      </c>
      <c r="L18" s="12" t="inlineStr"/>
    </row>
    <row r="19">
      <c r="A19" s="8" t="inlineStr">
        <is>
          <t>CL-17</t>
        </is>
      </c>
      <c r="B19" s="7" t="inlineStr">
        <is>
          <t>3. Decisions</t>
        </is>
      </c>
      <c r="C19" s="10" t="inlineStr">
        <is>
          <t>Faculty status and contract codes</t>
        </is>
      </c>
      <c r="D19" s="10" t="inlineStr">
        <is>
          <t>Pick the Ministry code for Faculty Status 'Active' and Contract Type 'Full Time' in Jameah Code Map.</t>
        </is>
      </c>
      <c r="E19" s="7" t="inlineStr">
        <is>
          <t>Academic Affairs</t>
        </is>
      </c>
      <c r="F19" s="7" t="inlineStr">
        <is>
          <t>Before Jameah go-live</t>
        </is>
      </c>
      <c r="G19" s="7" t="inlineStr">
        <is>
          <t>DEC-13</t>
        </is>
      </c>
      <c r="H19" s="11" t="inlineStr">
        <is>
          <t>Open</t>
        </is>
      </c>
      <c r="I19" s="11" t="inlineStr"/>
      <c r="J19" s="7" t="inlineStr">
        <is>
          <t>21 Oct 2026</t>
        </is>
      </c>
      <c r="K19" s="7" t="inlineStr">
        <is>
          <t>21 Oct 2026</t>
        </is>
      </c>
      <c r="L19" s="12" t="inlineStr"/>
    </row>
    <row r="20">
      <c r="A20" s="8" t="inlineStr">
        <is>
          <t>CL-18</t>
        </is>
      </c>
      <c r="B20" s="7" t="inlineStr">
        <is>
          <t>3. Decisions</t>
        </is>
      </c>
      <c r="C20" s="10" t="inlineStr">
        <is>
          <t>Demo employee EMP-00001</t>
        </is>
      </c>
      <c r="D20" s="10" t="inlineStr">
        <is>
          <t>Complete it or delete it before go-live (it misses Ministry-mandatory fields).</t>
        </is>
      </c>
      <c r="E20" s="7" t="inlineStr">
        <is>
          <t>HR</t>
        </is>
      </c>
      <c r="F20" s="7" t="inlineStr">
        <is>
          <t>Before go-live</t>
        </is>
      </c>
      <c r="G20" s="7" t="inlineStr">
        <is>
          <t>HR-53</t>
        </is>
      </c>
      <c r="H20" s="11" t="inlineStr">
        <is>
          <t>Open</t>
        </is>
      </c>
      <c r="I20" s="11" t="inlineStr"/>
      <c r="J20" s="7" t="inlineStr">
        <is>
          <t>21 Oct 2026</t>
        </is>
      </c>
      <c r="K20" s="7" t="inlineStr">
        <is>
          <t>21 Oct 2026</t>
        </is>
      </c>
      <c r="L20" s="12" t="inlineStr"/>
    </row>
    <row r="21">
      <c r="A21" s="8" t="inlineStr">
        <is>
          <t>CL-19</t>
        </is>
      </c>
      <c r="B21" s="7" t="inlineStr">
        <is>
          <t>4. HR data</t>
        </is>
      </c>
      <c r="C21" s="10" t="inlineStr">
        <is>
          <t>Instructor data sheet</t>
        </is>
      </c>
      <c r="D21" s="10" t="inlineStr">
        <is>
          <t>Fill the Instructor sheet so the existing Instructors are linked to Employees; the Faculty views fill in as they are.</t>
        </is>
      </c>
      <c r="E21" s="7" t="inlineStr">
        <is>
          <t>HR</t>
        </is>
      </c>
      <c r="F21" s="7" t="inlineStr">
        <is>
          <t>Before Jameah go-live</t>
        </is>
      </c>
      <c r="G21" s="7" t="inlineStr">
        <is>
          <t>HR-55</t>
        </is>
      </c>
      <c r="H21" s="11" t="inlineStr">
        <is>
          <t>Open</t>
        </is>
      </c>
      <c r="I21" s="11" t="inlineStr"/>
      <c r="J21" s="7" t="inlineStr">
        <is>
          <t>21 Oct 2026</t>
        </is>
      </c>
      <c r="K21" s="7" t="inlineStr">
        <is>
          <t>21 Oct 2026</t>
        </is>
      </c>
      <c r="L21" s="12" t="inlineStr"/>
    </row>
    <row r="22">
      <c r="A22" s="8" t="inlineStr">
        <is>
          <t>CL-20</t>
        </is>
      </c>
      <c r="B22" s="7" t="inlineStr">
        <is>
          <t>4. HR data</t>
        </is>
      </c>
      <c r="C22" s="10" t="inlineStr">
        <is>
          <t>Non-academic staff data sheet</t>
        </is>
      </c>
      <c r="D22" s="10" t="inlineStr">
        <is>
          <t>Employees Missing Ministry Data report -&gt; Download Data Sheet -&gt; fill the red cells -&gt; Check -&gt; Import.</t>
        </is>
      </c>
      <c r="E22" s="7" t="inlineStr">
        <is>
          <t>HR</t>
        </is>
      </c>
      <c r="F22" s="7" t="inlineStr">
        <is>
          <t>Before Jameah go-live</t>
        </is>
      </c>
      <c r="G22" s="7" t="inlineStr">
        <is>
          <t>HR-50</t>
        </is>
      </c>
      <c r="H22" s="11" t="inlineStr">
        <is>
          <t>Open</t>
        </is>
      </c>
      <c r="I22" s="11" t="inlineStr"/>
      <c r="J22" s="7" t="inlineStr">
        <is>
          <t>21 Oct 2026</t>
        </is>
      </c>
      <c r="K22" s="7" t="inlineStr">
        <is>
          <t>21 Oct 2026</t>
        </is>
      </c>
      <c r="L22" s="12" t="inlineStr"/>
    </row>
    <row r="23">
      <c r="A23" s="8" t="inlineStr">
        <is>
          <t>CL-21</t>
        </is>
      </c>
      <c r="B23" s="7" t="inlineStr">
        <is>
          <t>4. HR data</t>
        </is>
      </c>
      <c r="C23" s="10" t="inlineStr">
        <is>
          <t>Academic Holiday List</t>
        </is>
      </c>
      <c r="D23" s="10" t="inlineStr">
        <is>
          <t>Set it in HR Settings &gt; Academic Schedules &amp; Presence.</t>
        </is>
      </c>
      <c r="E23" s="7" t="inlineStr">
        <is>
          <t>HR</t>
        </is>
      </c>
      <c r="F23" s="7" t="inlineStr">
        <is>
          <t>Before UAT</t>
        </is>
      </c>
      <c r="G23" s="7" t="inlineStr">
        <is>
          <t>HR-57</t>
        </is>
      </c>
      <c r="H23" s="11" t="inlineStr">
        <is>
          <t>Open</t>
        </is>
      </c>
      <c r="I23" s="11" t="inlineStr"/>
      <c r="J23" s="7" t="inlineStr">
        <is>
          <t>21 Oct 2026</t>
        </is>
      </c>
      <c r="K23" s="7" t="inlineStr">
        <is>
          <t>21 Oct 2026</t>
        </is>
      </c>
      <c r="L23" s="12" t="inlineStr"/>
    </row>
    <row r="24">
      <c r="A24" s="8" t="inlineStr">
        <is>
          <t>CL-38</t>
        </is>
      </c>
      <c r="B24" s="7" t="inlineStr">
        <is>
          <t>4. HR data</t>
        </is>
      </c>
      <c r="C24" s="10" t="inlineStr">
        <is>
          <t>Exam committees with proctors</t>
        </is>
      </c>
      <c r="D24" s="10" t="inlineStr">
        <is>
          <t>Enter the exam committees (date, time, room) with their proctors; until then Proctor Schedules is empty. Needed to review HR requirement 2.</t>
        </is>
      </c>
      <c r="E24" s="7" t="inlineStr">
        <is>
          <t>Academic Affairs</t>
        </is>
      </c>
      <c r="F24" s="7" t="inlineStr">
        <is>
          <t>Before the HR review meeting</t>
        </is>
      </c>
      <c r="G24" s="7" t="inlineStr">
        <is>
          <t>HR-37</t>
        </is>
      </c>
      <c r="H24" s="11" t="inlineStr">
        <is>
          <t>Open</t>
        </is>
      </c>
      <c r="I24" s="11" t="inlineStr"/>
      <c r="J24" s="7" t="inlineStr">
        <is>
          <t>23 Oct 2026</t>
        </is>
      </c>
      <c r="K24" s="7" t="inlineStr">
        <is>
          <t>23 Oct 2026</t>
        </is>
      </c>
      <c r="L24" s="12" t="inlineStr"/>
    </row>
    <row r="25">
      <c r="A25" s="8" t="inlineStr">
        <is>
          <t>CL-40</t>
        </is>
      </c>
      <c r="B25" s="7" t="inlineStr">
        <is>
          <t>4. HR data</t>
        </is>
      </c>
      <c r="C25" s="10" t="inlineStr">
        <is>
          <t>Leave e-mail templates</t>
        </is>
      </c>
      <c r="D25" s="10" t="inlineStr">
        <is>
          <t>Set by the migrate (CL-02): HR Settings -&gt; Leave Approval / Leave Status Notification Template = the two '(Medical HRMS)' templates, only where empty (a template HR chose is kept). The employee's e-mail has the rejection reason and opens the application on the Employee Portal. HR can change the wording in Email Template.</t>
        </is>
      </c>
      <c r="E25" s="7" t="inlineStr">
        <is>
          <t>Developer (Abdul Hakeem)</t>
        </is>
      </c>
      <c r="F25" s="7" t="inlineStr">
        <is>
          <t>Before UAT</t>
        </is>
      </c>
      <c r="G25" s="7" t="inlineStr">
        <is>
          <t>HR-25</t>
        </is>
      </c>
      <c r="H25" s="11" t="inlineStr">
        <is>
          <t>Done</t>
        </is>
      </c>
      <c r="I25" s="11" t="inlineStr">
        <is>
          <t>27 Oct 2026</t>
        </is>
      </c>
      <c r="J25" s="7" t="inlineStr">
        <is>
          <t>27 Oct 2026</t>
        </is>
      </c>
      <c r="K25" s="7" t="inlineStr">
        <is>
          <t>27 Oct 2026</t>
        </is>
      </c>
      <c r="L25" s="12" t="inlineStr"/>
    </row>
    <row r="26">
      <c r="A26" s="8" t="inlineStr">
        <is>
          <t>CL-28</t>
        </is>
      </c>
      <c r="B26" s="7" t="inlineStr">
        <is>
          <t>4. HR data</t>
        </is>
      </c>
      <c r="C26" s="10" t="inlineStr">
        <is>
          <t>Leave period for Al Riyada College</t>
        </is>
      </c>
      <c r="D26" s="10" t="inlineStr">
        <is>
          <t>HR Portal &gt; Leave &gt; Yearly setup 1: Leave Period for this year, company Al Riyada College, tick Is Active.</t>
        </is>
      </c>
      <c r="E26" s="7" t="inlineStr">
        <is>
          <t>HR</t>
        </is>
      </c>
      <c r="F26" s="7" t="inlineStr">
        <is>
          <t>Before UAT</t>
        </is>
      </c>
      <c r="G26" s="7" t="inlineStr">
        <is>
          <t>HR-69</t>
        </is>
      </c>
      <c r="H26" s="11" t="inlineStr">
        <is>
          <t>Open</t>
        </is>
      </c>
      <c r="I26" s="11" t="inlineStr"/>
      <c r="J26" s="7" t="inlineStr">
        <is>
          <t>22 Oct 2026</t>
        </is>
      </c>
      <c r="K26" s="7" t="inlineStr">
        <is>
          <t>22 Oct 2026</t>
        </is>
      </c>
      <c r="L26" s="12" t="inlineStr"/>
    </row>
    <row r="27">
      <c r="A27" s="8" t="inlineStr">
        <is>
          <t>CL-29</t>
        </is>
      </c>
      <c r="B27" s="7" t="inlineStr">
        <is>
          <t>4. HR data</t>
        </is>
      </c>
      <c r="C27" s="10" t="inlineStr">
        <is>
          <t>Holiday list for Al Riyada College</t>
        </is>
      </c>
      <c r="D27" s="10" t="inlineStr">
        <is>
          <t>Step 2: Holiday List with the official holidays and weekends; set it as the default holiday list on the Company.</t>
        </is>
      </c>
      <c r="E27" s="7" t="inlineStr">
        <is>
          <t>HR</t>
        </is>
      </c>
      <c r="F27" s="7" t="inlineStr">
        <is>
          <t>Before UAT</t>
        </is>
      </c>
      <c r="G27" s="7" t="inlineStr">
        <is>
          <t>HR-69, DEC-10</t>
        </is>
      </c>
      <c r="H27" s="11" t="inlineStr">
        <is>
          <t>Open</t>
        </is>
      </c>
      <c r="I27" s="11" t="inlineStr"/>
      <c r="J27" s="7" t="inlineStr">
        <is>
          <t>22 Oct 2026</t>
        </is>
      </c>
      <c r="K27" s="7" t="inlineStr">
        <is>
          <t>22 Oct 2026</t>
        </is>
      </c>
      <c r="L27" s="12" t="inlineStr"/>
    </row>
    <row r="28">
      <c r="A28" s="8" t="inlineStr">
        <is>
          <t>CL-30</t>
        </is>
      </c>
      <c r="B28" s="7" t="inlineStr">
        <is>
          <t>4. HR data</t>
        </is>
      </c>
      <c r="C28" s="10" t="inlineStr">
        <is>
          <t>Leave approvers</t>
        </is>
      </c>
      <c r="D28" s="10" t="inlineStr">
        <is>
          <t>Step 5: set the leave approver on each Department (Leave Approvers table) or on each Employee. Check the Leave setup check on the live server for how many have none.</t>
        </is>
      </c>
      <c r="E28" s="7" t="inlineStr">
        <is>
          <t>HR</t>
        </is>
      </c>
      <c r="F28" s="7" t="inlineStr">
        <is>
          <t>Before UAT</t>
        </is>
      </c>
      <c r="G28" s="7" t="inlineStr">
        <is>
          <t>HR-69</t>
        </is>
      </c>
      <c r="H28" s="11" t="inlineStr">
        <is>
          <t>Open</t>
        </is>
      </c>
      <c r="I28" s="11" t="inlineStr"/>
      <c r="J28" s="7" t="inlineStr">
        <is>
          <t>22 Oct 2026</t>
        </is>
      </c>
      <c r="K28" s="7" t="inlineStr">
        <is>
          <t>23 Oct 2026</t>
        </is>
      </c>
      <c r="L28" s="12" t="inlineStr"/>
    </row>
    <row r="29">
      <c r="A29" s="8" t="inlineStr">
        <is>
          <t>CL-31</t>
        </is>
      </c>
      <c r="B29" s="7" t="inlineStr">
        <is>
          <t>4. HR data</t>
        </is>
      </c>
      <c r="C29" s="10" t="inlineStr">
        <is>
          <t>Annual leave balances</t>
        </is>
      </c>
      <c r="D29" s="10" t="inlineStr">
        <is>
          <t>Steps 3-4: submit the annual leave policy (21 or 30 days) and assign it with Leave Control Panel; the Leave setup check turns green.</t>
        </is>
      </c>
      <c r="E29" s="7" t="inlineStr">
        <is>
          <t>HR</t>
        </is>
      </c>
      <c r="F29" s="7" t="inlineStr">
        <is>
          <t>Before UAT</t>
        </is>
      </c>
      <c r="G29" s="7" t="inlineStr">
        <is>
          <t>HR-69</t>
        </is>
      </c>
      <c r="H29" s="11" t="inlineStr">
        <is>
          <t>Open</t>
        </is>
      </c>
      <c r="I29" s="11" t="inlineStr"/>
      <c r="J29" s="7" t="inlineStr">
        <is>
          <t>22 Oct 2026</t>
        </is>
      </c>
      <c r="K29" s="7" t="inlineStr">
        <is>
          <t>22 Oct 2026</t>
        </is>
      </c>
      <c r="L29" s="12" t="inlineStr"/>
    </row>
    <row r="30">
      <c r="A30" s="8" t="inlineStr">
        <is>
          <t>CL-32</t>
        </is>
      </c>
      <c r="B30" s="7" t="inlineStr">
        <is>
          <t>4. HR data</t>
        </is>
      </c>
      <c r="C30" s="10" t="inlineStr">
        <is>
          <t>Sick Leave policy</t>
        </is>
      </c>
      <c r="D30" s="10" t="inlineStr">
        <is>
          <t>Review and submit 'Medical HRMS - Sick Leave (3 Pay Stages, Separate Sick Year)'; Finance checks the 75% pay on a salary slip.</t>
        </is>
      </c>
      <c r="E30" s="7" t="inlineStr">
        <is>
          <t>HR + Finance</t>
        </is>
      </c>
      <c r="F30" s="7" t="inlineStr">
        <is>
          <t>Before UAT</t>
        </is>
      </c>
      <c r="G30" s="7" t="inlineStr">
        <is>
          <t>HR-20, DEC-14</t>
        </is>
      </c>
      <c r="H30" s="11" t="inlineStr">
        <is>
          <t>Open</t>
        </is>
      </c>
      <c r="I30" s="11" t="inlineStr"/>
      <c r="J30" s="7" t="inlineStr">
        <is>
          <t>22 Oct 2026</t>
        </is>
      </c>
      <c r="K30" s="7" t="inlineStr">
        <is>
          <t>22 Oct 2026</t>
        </is>
      </c>
      <c r="L30" s="12" t="inlineStr"/>
    </row>
    <row r="31">
      <c r="A31" s="8" t="inlineStr">
        <is>
          <t>CL-22</t>
        </is>
      </c>
      <c r="B31" s="7" t="inlineStr">
        <is>
          <t>4. HR data</t>
        </is>
      </c>
      <c r="C31" s="10" t="inlineStr">
        <is>
          <t>Attendance devices</t>
        </is>
      </c>
      <c r="D31" s="10" t="inlineStr">
        <is>
          <t>Connect the devices so Faculty After 4 PM uses real check-out times.</t>
        </is>
      </c>
      <c r="E31" s="7" t="inlineStr">
        <is>
          <t>HR + IT</t>
        </is>
      </c>
      <c r="F31" s="7" t="inlineStr">
        <is>
          <t>Later</t>
        </is>
      </c>
      <c r="G31" s="7" t="inlineStr">
        <is>
          <t>HR-56</t>
        </is>
      </c>
      <c r="H31" s="11" t="inlineStr">
        <is>
          <t>Open</t>
        </is>
      </c>
      <c r="I31" s="11" t="inlineStr"/>
      <c r="J31" s="7" t="inlineStr">
        <is>
          <t>21 Oct 2026</t>
        </is>
      </c>
      <c r="K31" s="7" t="inlineStr">
        <is>
          <t>21 Oct 2026</t>
        </is>
      </c>
      <c r="L31" s="12" t="inlineStr"/>
    </row>
    <row r="32">
      <c r="A32" s="8" t="inlineStr">
        <is>
          <t>CL-23</t>
        </is>
      </c>
      <c r="B32" s="7" t="inlineStr">
        <is>
          <t>5. Reviews and testing</t>
        </is>
      </c>
      <c r="C32" s="10" t="inlineStr">
        <is>
          <t>Run the test cases</t>
        </is>
      </c>
      <c r="D32" s="10" t="inlineStr">
        <is>
          <t>Testing team works through Medical_HRMS_Jameah_Test_Cases.xlsx and records results and bugs there. Started 27 Oct with the test cases and both guides.</t>
        </is>
      </c>
      <c r="E32" s="7" t="inlineStr">
        <is>
          <t>Testing team</t>
        </is>
      </c>
      <c r="F32" s="7" t="inlineStr">
        <is>
          <t>UAT</t>
        </is>
      </c>
      <c r="G32" s="7" t="inlineStr">
        <is>
          <t>HR-46, HR-75</t>
        </is>
      </c>
      <c r="H32" s="11" t="inlineStr">
        <is>
          <t>In progress</t>
        </is>
      </c>
      <c r="I32" s="11" t="inlineStr"/>
      <c r="J32" s="7" t="inlineStr">
        <is>
          <t>21 Oct 2026</t>
        </is>
      </c>
      <c r="K32" s="7" t="inlineStr">
        <is>
          <t>27 Oct 2026</t>
        </is>
      </c>
      <c r="L32" s="12" t="inlineStr"/>
    </row>
    <row r="33">
      <c r="A33" s="8" t="inlineStr">
        <is>
          <t>CL-24</t>
        </is>
      </c>
      <c r="B33" s="7" t="inlineStr">
        <is>
          <t>5. Reviews and testing</t>
        </is>
      </c>
      <c r="C33" s="10" t="inlineStr">
        <is>
          <t>Arabic labels</t>
        </is>
      </c>
      <c r="D33" s="10" t="inlineStr">
        <is>
          <t>An Arabic speaker reads the HR / Employee Portal pages in Arabic and lists wording to change, including the 114 new leave texts (22 Oct).</t>
        </is>
      </c>
      <c r="E33" s="7" t="inlineStr">
        <is>
          <t>Project owner</t>
        </is>
      </c>
      <c r="F33" s="7" t="inlineStr">
        <is>
          <t>UAT</t>
        </is>
      </c>
      <c r="G33" s="7" t="inlineStr">
        <is>
          <t>HR-66, HR-68</t>
        </is>
      </c>
      <c r="H33" s="11" t="inlineStr">
        <is>
          <t>Open</t>
        </is>
      </c>
      <c r="I33" s="11" t="inlineStr"/>
      <c r="J33" s="7" t="inlineStr">
        <is>
          <t>21 Oct 2026</t>
        </is>
      </c>
      <c r="K33" s="7" t="inlineStr">
        <is>
          <t>22 Oct 2026</t>
        </is>
      </c>
      <c r="L33" s="12" t="inlineStr"/>
    </row>
    <row r="34">
      <c r="A34" s="8" t="inlineStr">
        <is>
          <t>CL-25</t>
        </is>
      </c>
      <c r="B34" s="7" t="inlineStr">
        <is>
          <t>5. Reviews and testing</t>
        </is>
      </c>
      <c r="C34" s="10" t="inlineStr">
        <is>
          <t>Portal design approval</t>
        </is>
      </c>
      <c r="D34" s="10" t="inlineStr">
        <is>
          <t>Client confirms the new HR Portal / Employee Portal look.</t>
        </is>
      </c>
      <c r="E34" s="7" t="inlineStr">
        <is>
          <t>Project owner</t>
        </is>
      </c>
      <c r="F34" s="7" t="inlineStr">
        <is>
          <t>UAT</t>
        </is>
      </c>
      <c r="G34" s="7" t="inlineStr">
        <is>
          <t>HR-66</t>
        </is>
      </c>
      <c r="H34" s="11" t="inlineStr">
        <is>
          <t>Open</t>
        </is>
      </c>
      <c r="I34" s="11" t="inlineStr"/>
      <c r="J34" s="7" t="inlineStr">
        <is>
          <t>21 Oct 2026</t>
        </is>
      </c>
      <c r="K34" s="7" t="inlineStr">
        <is>
          <t>21 Oct 2026</t>
        </is>
      </c>
      <c r="L34" s="12" t="inlineStr"/>
    </row>
    <row r="35">
      <c r="A35" s="8" t="inlineStr">
        <is>
          <t>CL-33</t>
        </is>
      </c>
      <c r="B35" s="7" t="inlineStr">
        <is>
          <t>5. Reviews and testing</t>
        </is>
      </c>
      <c r="C35" s="10" t="inlineStr">
        <is>
          <t>Leave flow UAT</t>
        </is>
      </c>
      <c r="D35" s="10" t="inlineStr">
        <is>
          <t>An employee and their manager go through TC-LV-09 - TC-LV-17: plan, apply now, approve, return (also after sick leave).</t>
        </is>
      </c>
      <c r="E35" s="7" t="inlineStr">
        <is>
          <t>Testing team</t>
        </is>
      </c>
      <c r="F35" s="7" t="inlineStr">
        <is>
          <t>UAT</t>
        </is>
      </c>
      <c r="G35" s="7" t="inlineStr">
        <is>
          <t>HR-68</t>
        </is>
      </c>
      <c r="H35" s="11" t="inlineStr">
        <is>
          <t>Open</t>
        </is>
      </c>
      <c r="I35" s="11" t="inlineStr"/>
      <c r="J35" s="7" t="inlineStr">
        <is>
          <t>22 Oct 2026</t>
        </is>
      </c>
      <c r="K35" s="7" t="inlineStr">
        <is>
          <t>22 Oct 2026</t>
        </is>
      </c>
      <c r="L35" s="12" t="inlineStr"/>
    </row>
    <row r="36">
      <c r="A36" s="8" t="inlineStr">
        <is>
          <t>CL-26</t>
        </is>
      </c>
      <c r="B36" s="7" t="inlineStr">
        <is>
          <t>5. Reviews and testing</t>
        </is>
      </c>
      <c r="C36" s="10" t="inlineStr">
        <is>
          <t>Arabic interface</t>
        </is>
      </c>
      <c r="D36" s="10" t="inlineStr">
        <is>
          <t>Switch to AR and repeat a few test cases (HR Portal, Employee Portal, application form).</t>
        </is>
      </c>
      <c r="E36" s="7" t="inlineStr">
        <is>
          <t>Testing team</t>
        </is>
      </c>
      <c r="F36" s="7" t="inlineStr">
        <is>
          <t>UAT</t>
        </is>
      </c>
      <c r="G36" s="7" t="inlineStr">
        <is>
          <t>—</t>
        </is>
      </c>
      <c r="H36" s="11" t="inlineStr">
        <is>
          <t>Open</t>
        </is>
      </c>
      <c r="I36" s="11" t="inlineStr"/>
      <c r="J36" s="7" t="inlineStr">
        <is>
          <t>21 Oct 2026</t>
        </is>
      </c>
      <c r="K36" s="7" t="inlineStr">
        <is>
          <t>21 Oct 2026</t>
        </is>
      </c>
      <c r="L36" s="12" t="inlineStr"/>
    </row>
    <row r="37">
      <c r="A37" s="8" t="inlineStr">
        <is>
          <t>CL-27</t>
        </is>
      </c>
      <c r="B37" s="7" t="inlineStr">
        <is>
          <t>5. Reviews and testing</t>
        </is>
      </c>
      <c r="C37" s="10" t="inlineStr">
        <is>
          <t>Developer copy of the education app up to date</t>
        </is>
      </c>
      <c r="D37" s="10" t="inlineStr">
        <is>
          <t>On the development machine the education app checkout is behind its master branch; update it before testing there (git pull --ff-only).</t>
        </is>
      </c>
      <c r="E37" s="7" t="inlineStr">
        <is>
          <t>Project owner</t>
        </is>
      </c>
      <c r="F37" s="7" t="inlineStr">
        <is>
          <t>Now</t>
        </is>
      </c>
      <c r="G37" s="7" t="inlineStr">
        <is>
          <t>—</t>
        </is>
      </c>
      <c r="H37" s="11" t="inlineStr">
        <is>
          <t>Open</t>
        </is>
      </c>
      <c r="I37" s="11" t="inlineStr"/>
      <c r="J37" s="7" t="inlineStr">
        <is>
          <t>21 Oct 2026</t>
        </is>
      </c>
      <c r="K37" s="7" t="inlineStr">
        <is>
          <t>23 Oct 2026</t>
        </is>
      </c>
      <c r="L37" s="12" t="inlineStr"/>
    </row>
    <row r="38">
      <c r="A38" s="8" t="inlineStr">
        <is>
          <t>CL-34</t>
        </is>
      </c>
      <c r="B38" s="7" t="inlineStr">
        <is>
          <t>6. Team and repository</t>
        </is>
      </c>
      <c r="C38" s="10" t="inlineStr">
        <is>
          <t>Delete the merged branches on GitHub</t>
        </is>
      </c>
      <c r="D38" s="10" t="inlineStr">
        <is>
          <t>After UAT: feature/uat-2026-10-22, feature/hr-portal-design, feature/jameah-ministry-views, fix/hrm-e2e-approval-permission-bugs, ministry-lookup, employee-applicant (all merged into develop; their history stays in develop).</t>
        </is>
      </c>
      <c r="E38" s="7" t="inlineStr">
        <is>
          <t>Project owner</t>
        </is>
      </c>
      <c r="F38" s="7" t="inlineStr">
        <is>
          <t>After UAT</t>
        </is>
      </c>
      <c r="G38" s="7" t="inlineStr">
        <is>
          <t>HR-71</t>
        </is>
      </c>
      <c r="H38" s="11" t="inlineStr">
        <is>
          <t>Open</t>
        </is>
      </c>
      <c r="I38" s="11" t="inlineStr"/>
      <c r="J38" s="7" t="inlineStr">
        <is>
          <t>23 Oct 2026</t>
        </is>
      </c>
      <c r="K38" s="7" t="inlineStr">
        <is>
          <t>23 Oct 2026</t>
        </is>
      </c>
      <c r="L38" s="12" t="inlineStr"/>
    </row>
    <row r="39">
      <c r="A39" s="8" t="inlineStr">
        <is>
          <t>CL-35</t>
        </is>
      </c>
      <c r="B39" s="7" t="inlineStr">
        <is>
          <t>6. Team and repository</t>
        </is>
      </c>
      <c r="C39" s="10" t="inlineStr">
        <is>
          <t>Assign the open tasks</t>
        </is>
      </c>
      <c r="D39" s="10" t="inlineStr">
        <is>
          <t>Task Tracker, Tasks sheet: pick who each open task is given to in the Assigned to column (dropdown; e.g. HR-73, HR-16, HR-17, HR-25, JM-15, JM-19).</t>
        </is>
      </c>
      <c r="E39" s="7" t="inlineStr">
        <is>
          <t>Project owner</t>
        </is>
      </c>
      <c r="F39" s="7" t="inlineStr">
        <is>
          <t>Now</t>
        </is>
      </c>
      <c r="G39" s="7" t="inlineStr">
        <is>
          <t>HR-73</t>
        </is>
      </c>
      <c r="H39" s="11" t="inlineStr">
        <is>
          <t>Open</t>
        </is>
      </c>
      <c r="I39" s="11" t="inlineStr"/>
      <c r="J39" s="7" t="inlineStr">
        <is>
          <t>23 Oct 2026</t>
        </is>
      </c>
      <c r="K39" s="7" t="inlineStr">
        <is>
          <t>23 Oct 2026</t>
        </is>
      </c>
      <c r="L39" s="12" t="inlineStr"/>
    </row>
    <row r="40">
      <c r="A40" s="8" t="inlineStr">
        <is>
          <t>CL-36</t>
        </is>
      </c>
      <c r="B40" s="7" t="inlineStr">
        <is>
          <t>6. Team and repository</t>
        </is>
      </c>
      <c r="C40" s="10" t="inlineStr">
        <is>
          <t>Checks before every release</t>
        </is>
      </c>
      <c r="D40" s="10" t="inlineStr">
        <is>
          <t>python3 tests/checks/files.py; fx.py tests/checks/site.py; python3 tests/checks/api_methods.py; then the browser suite (tests/e2e/README.md). All must pass.</t>
        </is>
      </c>
      <c r="E40" s="7" t="inlineStr">
        <is>
          <t>Developer (Abdul Hakeem)</t>
        </is>
      </c>
      <c r="F40" s="7" t="inlineStr">
        <is>
          <t>Every release</t>
        </is>
      </c>
      <c r="G40" s="7" t="inlineStr">
        <is>
          <t>HR-72</t>
        </is>
      </c>
      <c r="H40" s="11" t="inlineStr">
        <is>
          <t>Open</t>
        </is>
      </c>
      <c r="I40" s="11" t="inlineStr"/>
      <c r="J40" s="7" t="inlineStr">
        <is>
          <t>23 Oct 2026</t>
        </is>
      </c>
      <c r="K40" s="7" t="inlineStr">
        <is>
          <t>23 Oct 2026</t>
        </is>
      </c>
      <c r="L40" s="12" t="inlineStr"/>
    </row>
    <row r="41">
      <c r="A41" s="8" t="inlineStr">
        <is>
          <t>CL-37</t>
        </is>
      </c>
      <c r="B41" s="7" t="inlineStr">
        <is>
          <t>5. Reviews and testing</t>
        </is>
      </c>
      <c r="C41" s="10" t="inlineStr">
        <is>
          <t>Share the guides</t>
        </is>
      </c>
      <c r="D41" s="10" t="inlineStr">
        <is>
          <t>Give HR, managers and the testing team docs/guides/Medical_HRMS_Jameah_User_Guide.pdf, and the server admin docs/guides/Medical_HRMS_Jameah_Installation_Guide.pdf; collect their questions. 27 Oct: given to the testing team; still to give to HR, managers and the server admin.</t>
        </is>
      </c>
      <c r="E41" s="7" t="inlineStr">
        <is>
          <t>Project owner</t>
        </is>
      </c>
      <c r="F41" s="7" t="inlineStr">
        <is>
          <t>UAT</t>
        </is>
      </c>
      <c r="G41" s="7" t="inlineStr">
        <is>
          <t>HR-74, HR-75</t>
        </is>
      </c>
      <c r="H41" s="11" t="inlineStr">
        <is>
          <t>In progress</t>
        </is>
      </c>
      <c r="I41" s="11" t="inlineStr"/>
      <c r="J41" s="7" t="inlineStr">
        <is>
          <t>23 Oct 2026</t>
        </is>
      </c>
      <c r="K41" s="7" t="inlineStr">
        <is>
          <t>27 Oct 2026</t>
        </is>
      </c>
      <c r="L41" s="12" t="inlineStr"/>
    </row>
    <row r="42">
      <c r="A42" s="8" t="inlineStr">
        <is>
          <t>CL-39</t>
        </is>
      </c>
      <c r="B42" s="7" t="inlineStr">
        <is>
          <t>5. Reviews and testing</t>
        </is>
      </c>
      <c r="C42" s="10" t="inlineStr">
        <is>
          <t>Round 2 document to the testing team</t>
        </is>
      </c>
      <c r="D42" s="10" t="inlineStr">
        <is>
          <t>Put Round 2 on their test server first (CL-01, migrate), then give them docs/guides/Medical_HRMS_Round_2_Whats_New.pdf and the Test Cases workbook (filter Round = Round 2).</t>
        </is>
      </c>
      <c r="E42" s="7" t="inlineStr">
        <is>
          <t>Project owner</t>
        </is>
      </c>
      <c r="F42" s="7" t="inlineStr">
        <is>
          <t>Now</t>
        </is>
      </c>
      <c r="G42" s="7" t="inlineStr">
        <is>
          <t>HR-76</t>
        </is>
      </c>
      <c r="H42" s="11" t="inlineStr">
        <is>
          <t>Open</t>
        </is>
      </c>
      <c r="I42" s="11" t="inlineStr"/>
      <c r="J42" s="7" t="inlineStr">
        <is>
          <t>27 Oct 2026</t>
        </is>
      </c>
      <c r="K42" s="7" t="inlineStr">
        <is>
          <t>27 Oct 2026</t>
        </is>
      </c>
      <c r="L42" s="12" t="inlineStr"/>
    </row>
    <row r="43">
      <c r="A43" s="8" t="inlineStr">
        <is>
          <t>CL-42</t>
        </is>
      </c>
      <c r="B43" s="7" t="inlineStr">
        <is>
          <t>5. Reviews and testing</t>
        </is>
      </c>
      <c r="C43" s="10" t="inlineStr">
        <is>
          <t>Round 3 document to the testing team</t>
        </is>
      </c>
      <c r="D43" s="10" t="inlineStr">
        <is>
          <t>With Round 2 (same deploy: CL-01 - CL-03, build and clear-cache): give them docs/guides/Medical_HRMS_Round_3_Whats_New.pdf (filter Round = Round 3), and link their instructor / head-of-department test logins to Employee records first, or they see no card.</t>
        </is>
      </c>
      <c r="E43" s="7" t="inlineStr">
        <is>
          <t>Project owner</t>
        </is>
      </c>
      <c r="F43" s="7" t="inlineStr">
        <is>
          <t>Now</t>
        </is>
      </c>
      <c r="G43" s="7" t="inlineStr">
        <is>
          <t>HR-11, HR-78</t>
        </is>
      </c>
      <c r="H43" s="11" t="inlineStr">
        <is>
          <t>Open</t>
        </is>
      </c>
      <c r="I43" s="11" t="inlineStr"/>
      <c r="J43" s="7" t="inlineStr">
        <is>
          <t>27 Oct 2026</t>
        </is>
      </c>
      <c r="K43" s="7" t="inlineStr">
        <is>
          <t>27 Oct 2026</t>
        </is>
      </c>
      <c r="L43" s="12" t="inlineStr"/>
    </row>
  </sheetData>
  <autoFilter ref="A1:L43"/>
  <conditionalFormatting sqref="H2:H143">
    <cfRule type="expression" priority="1" dxfId="0" stopIfTrue="1">
      <formula>$H2="Open"</formula>
    </cfRule>
    <cfRule type="expression" priority="2" dxfId="1" stopIfTrue="1">
      <formula>$H2="In progress"</formula>
    </cfRule>
    <cfRule type="expression" priority="3" dxfId="2" stopIfTrue="1">
      <formula>$H2="Done"</formula>
    </cfRule>
    <cfRule type="expression" priority="4" dxfId="3" stopIfTrue="1">
      <formula>$H2="Blocked"</formula>
    </cfRule>
    <cfRule type="expression" priority="5" dxfId="4" stopIfTrue="1">
      <formula>$H2="Not needed"</formula>
    </cfRule>
  </conditionalFormatting>
  <dataValidations count="1">
    <dataValidation sqref="H2:H143" showDropDown="0" showInputMessage="0" showErrorMessage="0" allowBlank="0" type="list">
      <formula1>"Open,In progress,Done,Blocked,Not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27 Oct 2026</t>
        </is>
      </c>
      <c r="B2" s="7" t="inlineStr">
        <is>
          <t>Round 3</t>
        </is>
      </c>
      <c r="C2" s="10" t="inlineStr">
        <is>
          <t>HR-11, HR-78, B-58, B-59, CL-42, TC-STF-01 - TC-STF-10</t>
        </is>
      </c>
      <c r="D2" s="10" t="inlineStr">
        <is>
          <t>Round 3: a My HR card on the education staff dashboards (Instructor, Department Head, Dean, Vice Deans, IT, Academic Operations, Student Affairs, Admission, Finance, Clinical, Advisor) for logins linked to an Employee record: leave balances and what's next, the latest requests, Apply for Leave, New Request and View, with the Employee Portal's own windows (now shared: public/js/self_service.js). Nothing in the education app changed. New: the Round 3 document for the testers, 10 test cases (Round 3), User Guide section 2.11, Installation Guide troubleshooting, QA logins qa.hod, qa.dean, qa.staff.nolink. Tested: 111/111 browser checks (10 new: SHR-01 - SHR-10), 53 unit tests (0 failures), 0 file and 0 site problems, 31 server methods x 3 roles; card placement checked on 11 staff dashboards (8 with figures, Advisor under its heading, Dean and Department Head in the browser tests); Error Log: only test-caused entries, removed. The full run caught a script error of the card on every other page (B-59), fixed before release.</t>
        </is>
      </c>
      <c r="E2" s="7" t="inlineStr">
        <is>
          <t>Abdul Hakeem</t>
        </is>
      </c>
    </row>
    <row r="3">
      <c r="A3" s="7" t="inlineStr">
        <is>
          <t>27 Oct 2026</t>
        </is>
      </c>
      <c r="B3" s="7" t="inlineStr">
        <is>
          <t>Leave e-mails</t>
        </is>
      </c>
      <c r="C3" s="10" t="inlineStr">
        <is>
          <t>HR-25, HR-76, DEC-16, CL-40, CL-41, TC-LV-19</t>
        </is>
      </c>
      <c r="D3" s="10" t="inlineStr">
        <is>
          <t>DEC-16 answered: every HR User and HR Manager login is told about new requests (as built). Leave e-mails: two Medical HRMS templates (the employee's has the rejection reason and opens the application on the Employee Portal), chosen in HR Settings by the migrate where empty - CL-40 done, no HR step left. Checked on this copy with a local mail catcher (nothing left the machine): 7 e-mails with the right text and links; unit test added (11 in test_request_flow). Round 2 document, User Guide and Installation Guide updated; new case TC-LV-19.</t>
        </is>
      </c>
      <c r="E3" s="7" t="inlineStr">
        <is>
          <t>Abdul Hakeem</t>
        </is>
      </c>
    </row>
    <row r="4">
      <c r="A4" s="7" t="inlineStr">
        <is>
          <t>27 Oct 2026</t>
        </is>
      </c>
      <c r="B4" s="7" t="inlineStr">
        <is>
          <t>Testing</t>
        </is>
      </c>
      <c r="C4" s="10" t="inlineStr">
        <is>
          <t>HR-76</t>
        </is>
      </c>
      <c r="D4" s="10" t="inlineStr">
        <is>
          <t>QA cleanup stops the unsent e-mails of removed QA records (status Error) instead of deleting them: the e-mail job could be sending them at that moment and logged 'Email Queue ... not found'.</t>
        </is>
      </c>
      <c r="E4" s="7" t="inlineStr">
        <is>
          <t>Abdul Hakeem</t>
        </is>
      </c>
    </row>
    <row r="5">
      <c r="A5" s="7" t="inlineStr">
        <is>
          <t>27 Oct 2026</t>
        </is>
      </c>
      <c r="B5" s="7" t="inlineStr">
        <is>
          <t>Round 2</t>
        </is>
      </c>
      <c r="C5" s="10" t="inlineStr">
        <is>
          <t>HR-16, HR-24, HR-25, HR-48, HR-76, HR-77, B-26, B-56, B-57, DEC-16, CL-39 - CL-41, TC-APR-02, TC-APR-09 - TC-APR-13, TC-ESS-17 - TC-ESS-23, TC-EMP-13, TC-EMP-14, TC-LV-18</t>
        </is>
      </c>
      <c r="D5" s="10"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5" s="7" t="inlineStr">
        <is>
          <t>Abdul Hakeem</t>
        </is>
      </c>
    </row>
    <row r="6">
      <c r="A6" s="7" t="inlineStr">
        <is>
          <t>27 Oct 2026</t>
        </is>
      </c>
      <c r="B6" s="7" t="inlineStr">
        <is>
          <t>Testing</t>
        </is>
      </c>
      <c r="C6" s="10" t="inlineStr">
        <is>
          <t>HR-75, CL-23, CL-37</t>
        </is>
      </c>
      <c r="D6" s="10"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6" s="7" t="inlineStr">
        <is>
          <t>Abdul Hakeem</t>
        </is>
      </c>
    </row>
    <row r="7">
      <c r="A7" s="7" t="inlineStr">
        <is>
          <t>23 Oct 2026</t>
        </is>
      </c>
      <c r="B7" s="7" t="inlineStr">
        <is>
          <t>Documentation</t>
        </is>
      </c>
      <c r="C7" s="10" t="inlineStr">
        <is>
          <t>HR-37, HR-38, DEC-15, CL-38</t>
        </is>
      </c>
      <c r="D7" s="10"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7" s="7" t="inlineStr">
        <is>
          <t>Abdul Hakeem</t>
        </is>
      </c>
    </row>
    <row r="8">
      <c r="A8" s="7" t="inlineStr">
        <is>
          <t>23 Oct 2026</t>
        </is>
      </c>
      <c r="B8" s="7" t="inlineStr">
        <is>
          <t>Documentation</t>
        </is>
      </c>
      <c r="C8" s="10" t="inlineStr">
        <is>
          <t>HR-74, B-54, B-55, TC-ESS-02, TC-ESS-04, TC-ESS-16, CL-37</t>
        </is>
      </c>
      <c r="D8" s="10"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8" s="7" t="inlineStr">
        <is>
          <t>Abdul Hakeem</t>
        </is>
      </c>
    </row>
    <row r="9">
      <c r="A9" s="7" t="inlineStr">
        <is>
          <t>23 Oct 2026</t>
        </is>
      </c>
      <c r="B9" s="7" t="inlineStr">
        <is>
          <t>Project tracking</t>
        </is>
      </c>
      <c r="C9" s="10" t="inlineStr">
        <is>
          <t>All tasks; HR-04 - HR-06, HR-11, HR-12, HR-28 - HR-30, HR-48, HR-66, HR-70, HR-71, HR-73, JM-03, JM-06, JM-12, JM-13, JM-16, JM-17, B-26, B-34, CL-35</t>
        </is>
      </c>
      <c r="D9" s="10"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9" s="7" t="inlineStr">
        <is>
          <t>Abdul Hakeem</t>
        </is>
      </c>
    </row>
    <row r="10">
      <c r="A10" s="7" t="inlineStr">
        <is>
          <t>23 Oct 2026</t>
        </is>
      </c>
      <c r="B10" s="7" t="inlineStr">
        <is>
          <t>Project tracking</t>
        </is>
      </c>
      <c r="C10" s="10" t="inlineStr">
        <is>
          <t>HR-72, B-52, B-53</t>
        </is>
      </c>
      <c r="D10" s="10" t="inlineStr">
        <is>
          <t>The three check scripts (files, site, server methods) now record their result in the Test Cases workbook (Last automated run: Pass, 23 Oct). The file check found a missing import in the site check; fixed.</t>
        </is>
      </c>
      <c r="E10" s="7" t="inlineStr">
        <is>
          <t>Abdul Hakeem</t>
        </is>
      </c>
    </row>
    <row r="11">
      <c r="A11" s="7" t="inlineStr">
        <is>
          <t>23 Oct 2026</t>
        </is>
      </c>
      <c r="B11" s="7" t="inlineStr">
        <is>
          <t>Medical HRMS</t>
        </is>
      </c>
      <c r="C11" s="10" t="inlineStr">
        <is>
          <t>HR-58, HR-69, HR-71 - HR-73, B-45 - B-51, CL-01, CL-30, CL-34 - CL-36, TC-ERR-06 - TC-ERR-09, TC-SEC-10</t>
        </is>
      </c>
      <c r="D11" s="10"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11" s="7" t="inlineStr">
        <is>
          <t>Abdul Hakeem</t>
        </is>
      </c>
    </row>
    <row r="12">
      <c r="A12" s="7" t="inlineStr">
        <is>
          <t>22 Oct 2026</t>
        </is>
      </c>
      <c r="B12" s="7" t="inlineStr">
        <is>
          <t>Medical HRMS</t>
        </is>
      </c>
      <c r="C12" s="10" t="inlineStr">
        <is>
          <t>HR-58, HR-70, JM-05, JM-19, B-42 – B-44, TC-REC-13, TC-REC-14</t>
        </is>
      </c>
      <c r="D12"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12" s="7" t="inlineStr">
        <is>
          <t>Abdul Hakeem</t>
        </is>
      </c>
    </row>
    <row r="13">
      <c r="A13" s="7" t="inlineStr">
        <is>
          <t>22 Oct 2026</t>
        </is>
      </c>
      <c r="B13" s="7" t="inlineStr">
        <is>
          <t>Medical HRMS</t>
        </is>
      </c>
      <c r="C13" s="10" t="inlineStr">
        <is>
          <t>HR-08, HR-09, HR-19, HR-20, HR-22, HR-68, HR-69, B-36 – B-40, DEC-14, CL-28 – CL-33</t>
        </is>
      </c>
      <c r="D13"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3" s="7" t="inlineStr">
        <is>
          <t>Abdul Hakeem</t>
        </is>
      </c>
    </row>
    <row r="14">
      <c r="A14" s="7" t="inlineStr">
        <is>
          <t>22 Oct 2026</t>
        </is>
      </c>
      <c r="B14" s="7" t="inlineStr">
        <is>
          <t>Testing</t>
        </is>
      </c>
      <c r="C14" s="10" t="inlineStr">
        <is>
          <t>HR-67, B-41</t>
        </is>
      </c>
      <c r="D14"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4" s="7" t="inlineStr">
        <is>
          <t>Abdul Hakeem</t>
        </is>
      </c>
    </row>
    <row r="15">
      <c r="A15" s="7" t="inlineStr">
        <is>
          <t>21 Oct 2026</t>
        </is>
      </c>
      <c r="B15" s="7" t="inlineStr">
        <is>
          <t>Medical HRMS + Jameah</t>
        </is>
      </c>
      <c r="C15" s="10" t="inlineStr">
        <is>
          <t>HR-49, HR-50, HR-51, HR-65, JM-14, B-35, DEC-12, DEC-13</t>
        </is>
      </c>
      <c r="D15"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5" s="7" t="inlineStr">
        <is>
          <t>Abdul Hakeem</t>
        </is>
      </c>
    </row>
    <row r="16">
      <c r="A16" s="7" t="inlineStr">
        <is>
          <t>21 Oct 2026</t>
        </is>
      </c>
      <c r="B16" s="7" t="inlineStr">
        <is>
          <t>Medical HRMS</t>
        </is>
      </c>
      <c r="C16" s="10" t="inlineStr">
        <is>
          <t>HR-66</t>
        </is>
      </c>
      <c r="D16" s="10" t="inlineStr">
        <is>
          <t>HR Portal and Employee Portal in the new college portal design (menu, top bar, EN/AR, dark mode); Arabic translations for these pages.</t>
        </is>
      </c>
      <c r="E16" s="7" t="inlineStr">
        <is>
          <t>Abdul Hakeem</t>
        </is>
      </c>
    </row>
    <row r="17">
      <c r="A17" s="7" t="inlineStr">
        <is>
          <t>21 Oct 2026</t>
        </is>
      </c>
      <c r="B17" s="7" t="inlineStr">
        <is>
          <t>Medical HRMS + Jameah</t>
        </is>
      </c>
      <c r="C17" s="10" t="inlineStr">
        <is>
          <t>HR-12, HR-31, HR-32, HR-45, HR-46, HR-59 – HR-64, JM-17, JM-18, B-24 – B-34</t>
        </is>
      </c>
      <c r="D17"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7" s="7" t="inlineStr">
        <is>
          <t>Abdul Hakeem</t>
        </is>
      </c>
    </row>
    <row r="18">
      <c r="A18" s="7" t="inlineStr">
        <is>
          <t>20 Oct 2026</t>
        </is>
      </c>
      <c r="B18" s="7" t="inlineStr">
        <is>
          <t>Medical HRMS + Jameah</t>
        </is>
      </c>
      <c r="C18" s="10" t="inlineStr">
        <is>
          <t>HR-07 – HR-09, HR-13 – HR-15, HR-19, HR-22, HR-26, HR-36 – HR-44, JM-02 – JM-07, B-12 – B-23</t>
        </is>
      </c>
      <c r="D18" s="10" t="inlineStr">
        <is>
          <t>Jameah Employee (5) and Student (10) views built and verified value by value; Academic Presence; browser test round 2 fixes.</t>
        </is>
      </c>
      <c r="E18" s="7" t="inlineStr">
        <is>
          <t>Abdul Hakeem</t>
        </is>
      </c>
    </row>
    <row r="19">
      <c r="A19" s="7" t="inlineStr">
        <is>
          <t>19 Oct 2026</t>
        </is>
      </c>
      <c r="B19" s="7" t="inlineStr">
        <is>
          <t>Medical HRMS + Jameah</t>
        </is>
      </c>
      <c r="C19" s="10" t="inlineStr">
        <is>
          <t>HR-02, HR-05, HR-06, HR-24, HR-27, HR-33 – HR-35, JM-01, B-01 – B-11</t>
        </is>
      </c>
      <c r="D19" s="10" t="inlineStr">
        <is>
          <t>Browser end-to-end test round 1 and fixes (approvals, recruitment security, Ministry identity rules); Instructor data sheet; Jameah research.</t>
        </is>
      </c>
      <c r="E19" s="7" t="inlineStr">
        <is>
          <t>Abdul Hakeem</t>
        </is>
      </c>
    </row>
    <row r="20">
      <c r="A20" s="7" t="inlineStr">
        <is>
          <t>1 Oct 2026</t>
        </is>
      </c>
      <c r="B20" s="7" t="inlineStr">
        <is>
          <t>Medical HRMS</t>
        </is>
      </c>
      <c r="C20" s="10" t="inlineStr">
        <is>
          <t>HR-01 – HR-32</t>
        </is>
      </c>
      <c r="D20" s="10" t="inlineStr">
        <is>
          <t>First HRM task tracker (HRM_TASK_TRACKER.md / .csv).</t>
        </is>
      </c>
      <c r="E20"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2026-10-27T11:16:49Z</dcterms:created>
  <dcterms:modified xsi:type="dcterms:W3CDTF">2026-10-27T11:16:49Z</dcterms:modified>
</cp:coreProperties>
</file>