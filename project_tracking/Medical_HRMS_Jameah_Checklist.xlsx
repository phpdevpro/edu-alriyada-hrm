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 Me" sheetId="1" state="visible" r:id="rId1"/>
    <sheet name="Summary" sheetId="2" state="visible" r:id="rId2"/>
    <sheet name="Checklist" sheetId="3" state="visible" r:id="rId3"/>
    <sheet name="Change Log" sheetId="4" state="visible" r:id="rId4"/>
  </sheets>
  <definedNames>
    <definedName name="_xlnm._FilterDatabase" localSheetId="2" hidden="1">'Checklist'!$A$1:$L$42</definedName>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color rgb="000D6B4F"/>
      <sz val="18"/>
    </font>
    <font>
      <name val="Arial"/>
      <color rgb="005D6B66"/>
      <sz val="11"/>
    </font>
    <font>
      <name val="Arial"/>
      <color rgb="001F2A27"/>
      <sz val="10"/>
    </font>
    <font>
      <name val="Arial"/>
      <b val="1"/>
      <color rgb="00FFFFFF"/>
      <sz val="10"/>
    </font>
    <font>
      <name val="Arial"/>
      <b val="1"/>
      <color rgb="001F2A27"/>
      <sz val="10"/>
    </font>
    <font>
      <name val="Arial"/>
      <b val="1"/>
      <color rgb="000D6B4F"/>
      <sz val="16"/>
    </font>
    <font>
      <name val="Arial"/>
      <color rgb="005D6B66"/>
      <sz val="10"/>
    </font>
  </fonts>
  <fills count="4">
    <fill>
      <patternFill/>
    </fill>
    <fill>
      <patternFill patternType="gray125"/>
    </fill>
    <fill>
      <patternFill patternType="solid">
        <fgColor rgb="000D6B4F"/>
      </patternFill>
    </fill>
    <fill>
      <patternFill patternType="solid">
        <fgColor rgb="00FFF7D6"/>
      </patternFill>
    </fill>
  </fills>
  <borders count="2">
    <border>
      <left/>
      <right/>
      <top/>
      <bottom/>
      <diagonal/>
    </border>
    <border>
      <left style="thin">
        <color rgb="00D5DDDA"/>
      </left>
      <right style="thin">
        <color rgb="00D5DDDA"/>
      </right>
      <top style="thin">
        <color rgb="00D5DDDA"/>
      </top>
      <bottom style="thin">
        <color rgb="00D5DDDA"/>
      </bottom>
    </border>
  </borders>
  <cellStyleXfs count="1">
    <xf numFmtId="0" fontId="0" fillId="0" borderId="0"/>
  </cellStyleXfs>
  <cellXfs count="13">
    <xf numFmtId="0" fontId="0" fillId="0" borderId="0" pivotButton="0" quotePrefix="0" xfId="0"/>
    <xf numFmtId="0" fontId="1" fillId="0" borderId="0" pivotButton="0" quotePrefix="0" xfId="0"/>
    <xf numFmtId="0" fontId="2" fillId="0" borderId="0" pivotButton="0" quotePrefix="0" xfId="0"/>
    <xf numFmtId="0" fontId="3" fillId="0" borderId="0" applyAlignment="1" pivotButton="0" quotePrefix="0" xfId="0">
      <alignment vertical="top" wrapText="1"/>
    </xf>
    <xf numFmtId="0" fontId="6" fillId="0" borderId="0" pivotButton="0" quotePrefix="0" xfId="0"/>
    <xf numFmtId="0" fontId="7" fillId="0" borderId="0" pivotButton="0" quotePrefix="0" xfId="0"/>
    <xf numFmtId="0" fontId="4" fillId="2" borderId="1" pivotButton="0" quotePrefix="0" xfId="0"/>
    <xf numFmtId="0" fontId="3" fillId="0" borderId="1" applyAlignment="1" pivotButton="0" quotePrefix="0" xfId="0">
      <alignment vertical="top"/>
    </xf>
    <xf numFmtId="0" fontId="5" fillId="0" borderId="1" applyAlignment="1" pivotButton="0" quotePrefix="0" xfId="0">
      <alignment vertical="top"/>
    </xf>
    <xf numFmtId="0" fontId="4" fillId="2" borderId="1" applyAlignment="1" pivotButton="0" quotePrefix="0" xfId="0">
      <alignment vertical="center" wrapText="1"/>
    </xf>
    <xf numFmtId="0" fontId="3" fillId="0" borderId="1" applyAlignment="1" pivotButton="0" quotePrefix="0" xfId="0">
      <alignment vertical="top" wrapText="1"/>
    </xf>
    <xf numFmtId="0" fontId="3" fillId="3" borderId="1" applyAlignment="1" pivotButton="0" quotePrefix="0" xfId="0">
      <alignment vertical="top"/>
    </xf>
    <xf numFmtId="0" fontId="3" fillId="3" borderId="1" applyAlignment="1" pivotButton="0" quotePrefix="0" xfId="0">
      <alignment vertical="top" wrapText="1"/>
    </xf>
  </cellXfs>
  <cellStyles count="1">
    <cellStyle name="Normal" xfId="0" builtinId="0" hidden="0"/>
  </cellStyles>
  <dxfs count="5">
    <dxf>
      <font>
        <b val="1"/>
        <color rgb="00FFFFFF"/>
      </font>
      <fill>
        <patternFill patternType="solid">
          <fgColor rgb="00EF6C00"/>
          <bgColor rgb="00EF6C00"/>
        </patternFill>
      </fill>
    </dxf>
    <dxf>
      <font>
        <b val="1"/>
        <color rgb="00FFFFFF"/>
      </font>
      <fill>
        <patternFill patternType="solid">
          <fgColor rgb="001565C0"/>
          <bgColor rgb="001565C0"/>
        </patternFill>
      </fill>
    </dxf>
    <dxf>
      <font>
        <b val="1"/>
        <color rgb="00FFFFFF"/>
      </font>
      <fill>
        <patternFill patternType="solid">
          <fgColor rgb="002E7D32"/>
          <bgColor rgb="002E7D32"/>
        </patternFill>
      </fill>
    </dxf>
    <dxf>
      <font>
        <b val="1"/>
        <color rgb="00FFFFFF"/>
      </font>
      <fill>
        <patternFill patternType="solid">
          <fgColor rgb="00C62828"/>
          <bgColor rgb="00C62828"/>
        </patternFill>
      </fill>
    </dxf>
    <dxf>
      <font>
        <b val="1"/>
        <color rgb="001F2A27"/>
      </font>
      <fill>
        <patternFill patternType="solid">
          <fgColor rgb="00B0BEC5"/>
          <bgColor rgb="00B0BEC5"/>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1:B7"/>
  <sheetViews>
    <sheetView showGridLines="0" workbookViewId="0">
      <selection activeCell="A1" sqref="A1"/>
    </sheetView>
  </sheetViews>
  <sheetFormatPr baseColWidth="8" defaultRowHeight="15"/>
  <cols>
    <col width="3" customWidth="1" min="1" max="1"/>
    <col width="110" customWidth="1" min="2" max="2"/>
  </cols>
  <sheetData>
    <row r="1">
      <c r="B1" s="1" t="inlineStr">
        <is>
          <t>Medical HRMS &amp; Jameah — Checklist</t>
        </is>
      </c>
    </row>
    <row r="2">
      <c r="B2" s="2" t="inlineStr">
        <is>
          <t>Al-Riyada College for Health Sciences · last updated 27 Oct 2026</t>
        </is>
      </c>
    </row>
    <row r="3" ht="30" customHeight="1">
      <c r="B3" s="3" t="inlineStr"/>
    </row>
    <row r="4" ht="30" customHeight="1">
      <c r="B4" s="3" t="inlineStr">
        <is>
          <t>What still has to be done or checked outside the code: deploying to the live server, checks only the live server can answer, decisions only the college or the Ministry can make, HR data entry, and reviews.</t>
        </is>
      </c>
    </row>
    <row r="5" ht="30" customHeight="1">
      <c r="B5" s="3" t="inlineStr">
        <is>
          <t>Work through 'Checklist'. When an item is done, set Status to Done and write the date in 'Done on'. Each row shows the task or decision it belongs to (Ref) in the Task Tracker.</t>
        </is>
      </c>
    </row>
    <row r="6" ht="30" customHeight="1">
      <c r="B6" s="3" t="inlineStr">
        <is>
          <t>Every change to an item updates its 'Last updated' date and gets a line in 'Change Log' (developers: project_tracking/source, then build_all.py).</t>
        </is>
      </c>
    </row>
    <row r="7" ht="30" customHeight="1">
      <c r="B7" s="3" t="inlineStr">
        <is>
          <t>Companion files in the same folder: Medical_HRMS_Jameah_Task_Tracker.xlsx (all tasks, bugs and decisions) and Medical_HRMS_Jameah_Test_Cases.xlsx (for the testing team).</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1"/>
  <sheetViews>
    <sheetView showGridLines="0" workbookViewId="0">
      <selection activeCell="A1" sqref="A1"/>
    </sheetView>
  </sheetViews>
  <sheetFormatPr baseColWidth="8" defaultRowHeight="15"/>
  <cols>
    <col width="32" customWidth="1" min="1" max="1"/>
    <col width="8" customWidth="1" min="2" max="2"/>
    <col width="11" customWidth="1" min="3" max="3"/>
    <col width="11" customWidth="1" min="4" max="4"/>
    <col width="11" customWidth="1" min="5" max="5"/>
    <col width="11" customWidth="1" min="6" max="6"/>
    <col width="11" customWidth="1" min="7" max="7"/>
  </cols>
  <sheetData>
    <row r="1">
      <c r="A1" s="4" t="inlineStr">
        <is>
          <t>Summary</t>
        </is>
      </c>
    </row>
    <row r="2">
      <c r="A2" s="5" t="inlineStr">
        <is>
          <t>Counts are formulas over the Checklist sheet; they update as Status changes.</t>
        </is>
      </c>
    </row>
    <row r="4">
      <c r="A4" s="6" t="inlineStr">
        <is>
          <t>Group</t>
        </is>
      </c>
      <c r="B4" s="6" t="inlineStr">
        <is>
          <t>Items</t>
        </is>
      </c>
      <c r="C4" s="6" t="inlineStr">
        <is>
          <t>Open</t>
        </is>
      </c>
      <c r="D4" s="6" t="inlineStr">
        <is>
          <t>In progress</t>
        </is>
      </c>
      <c r="E4" s="6" t="inlineStr">
        <is>
          <t>Done</t>
        </is>
      </c>
      <c r="F4" s="6" t="inlineStr">
        <is>
          <t>Blocked</t>
        </is>
      </c>
      <c r="G4" s="6" t="inlineStr">
        <is>
          <t>Not needed</t>
        </is>
      </c>
    </row>
    <row r="5">
      <c r="A5" s="7" t="inlineStr">
        <is>
          <t>1. Deploy to the live server</t>
        </is>
      </c>
      <c r="B5" s="7">
        <f>COUNTIF(Checklist!$B$2:$B$142,$A5)</f>
        <v/>
      </c>
      <c r="C5" s="7">
        <f>COUNTIFS(Checklist!$B$2:$B$142,$A5,Checklist!$H$2:$H$142,C$4)</f>
        <v/>
      </c>
      <c r="D5" s="7">
        <f>COUNTIFS(Checklist!$B$2:$B$142,$A5,Checklist!$H$2:$H$142,D$4)</f>
        <v/>
      </c>
      <c r="E5" s="7">
        <f>COUNTIFS(Checklist!$B$2:$B$142,$A5,Checklist!$H$2:$H$142,E$4)</f>
        <v/>
      </c>
      <c r="F5" s="7">
        <f>COUNTIFS(Checklist!$B$2:$B$142,$A5,Checklist!$H$2:$H$142,F$4)</f>
        <v/>
      </c>
      <c r="G5" s="7">
        <f>COUNTIFS(Checklist!$B$2:$B$142,$A5,Checklist!$H$2:$H$142,G$4)</f>
        <v/>
      </c>
    </row>
    <row r="6">
      <c r="A6" s="7" t="inlineStr">
        <is>
          <t>2. Check on the live server</t>
        </is>
      </c>
      <c r="B6" s="7">
        <f>COUNTIF(Checklist!$B$2:$B$142,$A6)</f>
        <v/>
      </c>
      <c r="C6" s="7">
        <f>COUNTIFS(Checklist!$B$2:$B$142,$A6,Checklist!$H$2:$H$142,C$4)</f>
        <v/>
      </c>
      <c r="D6" s="7">
        <f>COUNTIFS(Checklist!$B$2:$B$142,$A6,Checklist!$H$2:$H$142,D$4)</f>
        <v/>
      </c>
      <c r="E6" s="7">
        <f>COUNTIFS(Checklist!$B$2:$B$142,$A6,Checklist!$H$2:$H$142,E$4)</f>
        <v/>
      </c>
      <c r="F6" s="7">
        <f>COUNTIFS(Checklist!$B$2:$B$142,$A6,Checklist!$H$2:$H$142,F$4)</f>
        <v/>
      </c>
      <c r="G6" s="7">
        <f>COUNTIFS(Checklist!$B$2:$B$142,$A6,Checklist!$H$2:$H$142,G$4)</f>
        <v/>
      </c>
    </row>
    <row r="7">
      <c r="A7" s="7" t="inlineStr">
        <is>
          <t>3. Decisions</t>
        </is>
      </c>
      <c r="B7" s="7">
        <f>COUNTIF(Checklist!$B$2:$B$142,$A7)</f>
        <v/>
      </c>
      <c r="C7" s="7">
        <f>COUNTIFS(Checklist!$B$2:$B$142,$A7,Checklist!$H$2:$H$142,C$4)</f>
        <v/>
      </c>
      <c r="D7" s="7">
        <f>COUNTIFS(Checklist!$B$2:$B$142,$A7,Checklist!$H$2:$H$142,D$4)</f>
        <v/>
      </c>
      <c r="E7" s="7">
        <f>COUNTIFS(Checklist!$B$2:$B$142,$A7,Checklist!$H$2:$H$142,E$4)</f>
        <v/>
      </c>
      <c r="F7" s="7">
        <f>COUNTIFS(Checklist!$B$2:$B$142,$A7,Checklist!$H$2:$H$142,F$4)</f>
        <v/>
      </c>
      <c r="G7" s="7">
        <f>COUNTIFS(Checklist!$B$2:$B$142,$A7,Checklist!$H$2:$H$142,G$4)</f>
        <v/>
      </c>
    </row>
    <row r="8">
      <c r="A8" s="7" t="inlineStr">
        <is>
          <t>4. HR data</t>
        </is>
      </c>
      <c r="B8" s="7">
        <f>COUNTIF(Checklist!$B$2:$B$142,$A8)</f>
        <v/>
      </c>
      <c r="C8" s="7">
        <f>COUNTIFS(Checklist!$B$2:$B$142,$A8,Checklist!$H$2:$H$142,C$4)</f>
        <v/>
      </c>
      <c r="D8" s="7">
        <f>COUNTIFS(Checklist!$B$2:$B$142,$A8,Checklist!$H$2:$H$142,D$4)</f>
        <v/>
      </c>
      <c r="E8" s="7">
        <f>COUNTIFS(Checklist!$B$2:$B$142,$A8,Checklist!$H$2:$H$142,E$4)</f>
        <v/>
      </c>
      <c r="F8" s="7">
        <f>COUNTIFS(Checklist!$B$2:$B$142,$A8,Checklist!$H$2:$H$142,F$4)</f>
        <v/>
      </c>
      <c r="G8" s="7">
        <f>COUNTIFS(Checklist!$B$2:$B$142,$A8,Checklist!$H$2:$H$142,G$4)</f>
        <v/>
      </c>
    </row>
    <row r="9">
      <c r="A9" s="7" t="inlineStr">
        <is>
          <t>5. Reviews and testing</t>
        </is>
      </c>
      <c r="B9" s="7">
        <f>COUNTIF(Checklist!$B$2:$B$142,$A9)</f>
        <v/>
      </c>
      <c r="C9" s="7">
        <f>COUNTIFS(Checklist!$B$2:$B$142,$A9,Checklist!$H$2:$H$142,C$4)</f>
        <v/>
      </c>
      <c r="D9" s="7">
        <f>COUNTIFS(Checklist!$B$2:$B$142,$A9,Checklist!$H$2:$H$142,D$4)</f>
        <v/>
      </c>
      <c r="E9" s="7">
        <f>COUNTIFS(Checklist!$B$2:$B$142,$A9,Checklist!$H$2:$H$142,E$4)</f>
        <v/>
      </c>
      <c r="F9" s="7">
        <f>COUNTIFS(Checklist!$B$2:$B$142,$A9,Checklist!$H$2:$H$142,F$4)</f>
        <v/>
      </c>
      <c r="G9" s="7">
        <f>COUNTIFS(Checklist!$B$2:$B$142,$A9,Checklist!$H$2:$H$142,G$4)</f>
        <v/>
      </c>
    </row>
    <row r="10">
      <c r="A10" s="7" t="inlineStr">
        <is>
          <t>6. Team and repository</t>
        </is>
      </c>
      <c r="B10" s="7">
        <f>COUNTIF(Checklist!$B$2:$B$142,$A10)</f>
        <v/>
      </c>
      <c r="C10" s="7">
        <f>COUNTIFS(Checklist!$B$2:$B$142,$A10,Checklist!$H$2:$H$142,C$4)</f>
        <v/>
      </c>
      <c r="D10" s="7">
        <f>COUNTIFS(Checklist!$B$2:$B$142,$A10,Checklist!$H$2:$H$142,D$4)</f>
        <v/>
      </c>
      <c r="E10" s="7">
        <f>COUNTIFS(Checklist!$B$2:$B$142,$A10,Checklist!$H$2:$H$142,E$4)</f>
        <v/>
      </c>
      <c r="F10" s="7">
        <f>COUNTIFS(Checklist!$B$2:$B$142,$A10,Checklist!$H$2:$H$142,F$4)</f>
        <v/>
      </c>
      <c r="G10" s="7">
        <f>COUNTIFS(Checklist!$B$2:$B$142,$A10,Checklist!$H$2:$H$142,G$4)</f>
        <v/>
      </c>
    </row>
    <row r="11">
      <c r="A11" s="8" t="inlineStr">
        <is>
          <t>All</t>
        </is>
      </c>
      <c r="B11" s="8">
        <f>SUM(B5:B10)</f>
        <v/>
      </c>
      <c r="C11" s="8">
        <f>SUM(C5:C10)</f>
        <v/>
      </c>
      <c r="D11" s="8">
        <f>SUM(D5:D10)</f>
        <v/>
      </c>
      <c r="E11" s="8">
        <f>SUM(E5:E10)</f>
        <v/>
      </c>
      <c r="F11" s="8">
        <f>SUM(F5:F10)</f>
        <v/>
      </c>
      <c r="G11" s="8">
        <f>SUM(G5:G10)</f>
        <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42"/>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8" customWidth="1" min="1" max="1"/>
    <col width="26" customWidth="1" min="2" max="2"/>
    <col width="34" customWidth="1" min="3" max="3"/>
    <col width="70" customWidth="1" min="4" max="4"/>
    <col width="22" customWidth="1" min="5" max="5"/>
    <col width="16" customWidth="1" min="6" max="6"/>
    <col width="14" customWidth="1" min="7" max="7"/>
    <col width="12" customWidth="1" min="8" max="8"/>
    <col width="12" customWidth="1" min="9" max="9"/>
    <col width="12" customWidth="1" min="10" max="10"/>
    <col width="12" customWidth="1" min="11" max="11"/>
    <col width="30" customWidth="1" min="12" max="12"/>
  </cols>
  <sheetData>
    <row r="1" ht="30" customHeight="1">
      <c r="A1" s="9" t="inlineStr">
        <is>
          <t>ID</t>
        </is>
      </c>
      <c r="B1" s="9" t="inlineStr">
        <is>
          <t>Group</t>
        </is>
      </c>
      <c r="C1" s="9" t="inlineStr">
        <is>
          <t>Item</t>
        </is>
      </c>
      <c r="D1" s="9" t="inlineStr">
        <is>
          <t>How / where</t>
        </is>
      </c>
      <c r="E1" s="9" t="inlineStr">
        <is>
          <t>Owner</t>
        </is>
      </c>
      <c r="F1" s="9" t="inlineStr">
        <is>
          <t>Needed by</t>
        </is>
      </c>
      <c r="G1" s="9" t="inlineStr">
        <is>
          <t>Ref (tracker)</t>
        </is>
      </c>
      <c r="H1" s="9" t="inlineStr">
        <is>
          <t>Status</t>
        </is>
      </c>
      <c r="I1" s="9" t="inlineStr">
        <is>
          <t>Done on</t>
        </is>
      </c>
      <c r="J1" s="9" t="inlineStr">
        <is>
          <t>Added on</t>
        </is>
      </c>
      <c r="K1" s="9" t="inlineStr">
        <is>
          <t>Last updated</t>
        </is>
      </c>
      <c r="L1" s="9" t="inlineStr">
        <is>
          <t>Notes</t>
        </is>
      </c>
    </row>
    <row r="2">
      <c r="A2" s="8" t="inlineStr">
        <is>
          <t>CL-01</t>
        </is>
      </c>
      <c r="B2" s="7" t="inlineStr">
        <is>
          <t>1. Deploy to the live server</t>
        </is>
      </c>
      <c r="C2" s="10" t="inlineStr">
        <is>
          <t>Pull develop</t>
        </is>
      </c>
      <c r="D2" s="10" t="inlineStr">
        <is>
          <t>In apps/medical_hrms on the server: git fetch, then check out develop (every branch merged into it on 23 Oct; see the latest Change Log line).</t>
        </is>
      </c>
      <c r="E2" s="7" t="inlineStr">
        <is>
          <t>Server admin</t>
        </is>
      </c>
      <c r="F2" s="7" t="inlineStr">
        <is>
          <t>Before UAT</t>
        </is>
      </c>
      <c r="G2" s="7" t="inlineStr">
        <is>
          <t>HR-58, HR-71</t>
        </is>
      </c>
      <c r="H2" s="11" t="inlineStr">
        <is>
          <t>Open</t>
        </is>
      </c>
      <c r="I2" s="11" t="inlineStr"/>
      <c r="J2" s="7" t="inlineStr">
        <is>
          <t>21 Oct 2026</t>
        </is>
      </c>
      <c r="K2" s="7" t="inlineStr">
        <is>
          <t>23 Oct 2026</t>
        </is>
      </c>
      <c r="L2" s="12" t="inlineStr"/>
    </row>
    <row r="3">
      <c r="A3" s="8" t="inlineStr">
        <is>
          <t>CL-02</t>
        </is>
      </c>
      <c r="B3" s="7" t="inlineStr">
        <is>
          <t>1. Deploy to the live server</t>
        </is>
      </c>
      <c r="C3" s="10" t="inlineStr">
        <is>
          <t>Migrate</t>
        </is>
      </c>
      <c r="D3" s="10" t="inlineStr">
        <is>
          <t>bench --site &lt;site&gt; migrate. Read the output: no errors; send any line 'Kept (they hold data ...)' to the developer (TC-ERR-05). The migrate also renames the three sick-leave types to Sick Leave 1 / 2 / 3 (balances kept, TC-LV-17).</t>
        </is>
      </c>
      <c r="E3" s="7" t="inlineStr">
        <is>
          <t>Server admin</t>
        </is>
      </c>
      <c r="F3" s="7" t="inlineStr">
        <is>
          <t>Before UAT</t>
        </is>
      </c>
      <c r="G3" s="7" t="inlineStr">
        <is>
          <t>HR-51, HR-68</t>
        </is>
      </c>
      <c r="H3" s="11" t="inlineStr">
        <is>
          <t>Open</t>
        </is>
      </c>
      <c r="I3" s="11" t="inlineStr"/>
      <c r="J3" s="7" t="inlineStr">
        <is>
          <t>21 Oct 2026</t>
        </is>
      </c>
      <c r="K3" s="7" t="inlineStr">
        <is>
          <t>22 Oct 2026</t>
        </is>
      </c>
      <c r="L3" s="12" t="inlineStr"/>
    </row>
    <row r="4">
      <c r="A4" s="8" t="inlineStr">
        <is>
          <t>CL-03</t>
        </is>
      </c>
      <c r="B4" s="7" t="inlineStr">
        <is>
          <t>1. Deploy to the live server</t>
        </is>
      </c>
      <c r="C4" s="10" t="inlineStr">
        <is>
          <t>Build, clear cache, restart</t>
        </is>
      </c>
      <c r="D4" s="10" t="inlineStr">
        <is>
          <t>bench build --app medical_hrms; bench --site &lt;site&gt; clear-cache; bench restart. Needed for the new HR / Employee Portal, the new report and the Arabic translations.</t>
        </is>
      </c>
      <c r="E4" s="7" t="inlineStr">
        <is>
          <t>Server admin</t>
        </is>
      </c>
      <c r="F4" s="7" t="inlineStr">
        <is>
          <t>Before UAT</t>
        </is>
      </c>
      <c r="G4" s="7" t="inlineStr">
        <is>
          <t>HR-66</t>
        </is>
      </c>
      <c r="H4" s="11" t="inlineStr">
        <is>
          <t>Open</t>
        </is>
      </c>
      <c r="I4" s="11" t="inlineStr"/>
      <c r="J4" s="7" t="inlineStr">
        <is>
          <t>21 Oct 2026</t>
        </is>
      </c>
      <c r="K4" s="7" t="inlineStr">
        <is>
          <t>21 Oct 2026</t>
        </is>
      </c>
      <c r="L4" s="12" t="inlineStr"/>
    </row>
    <row r="5">
      <c r="A5" s="8" t="inlineStr">
        <is>
          <t>CL-04</t>
        </is>
      </c>
      <c r="B5" s="7" t="inlineStr">
        <is>
          <t>1. Deploy to the live server</t>
        </is>
      </c>
      <c r="C5" s="10" t="inlineStr">
        <is>
          <t>Scheduler and long-queue worker running</t>
        </is>
      </c>
      <c r="D5" s="10" t="inlineStr">
        <is>
          <t>bench --site &lt;site&gt; doctor. The hourly Jameah refresh now runs on the long queue (about 7 minutes), so a long-queue worker must run.</t>
        </is>
      </c>
      <c r="E5" s="7" t="inlineStr">
        <is>
          <t>Server admin</t>
        </is>
      </c>
      <c r="F5" s="7" t="inlineStr">
        <is>
          <t>After deploy</t>
        </is>
      </c>
      <c r="G5" s="7" t="inlineStr">
        <is>
          <t>JM-18</t>
        </is>
      </c>
      <c r="H5" s="11" t="inlineStr">
        <is>
          <t>Open</t>
        </is>
      </c>
      <c r="I5" s="11" t="inlineStr"/>
      <c r="J5" s="7" t="inlineStr">
        <is>
          <t>21 Oct 2026</t>
        </is>
      </c>
      <c r="K5" s="7" t="inlineStr">
        <is>
          <t>21 Oct 2026</t>
        </is>
      </c>
      <c r="L5" s="12" t="inlineStr"/>
    </row>
    <row r="6">
      <c r="A6" s="8" t="inlineStr">
        <is>
          <t>CL-05</t>
        </is>
      </c>
      <c r="B6" s="7" t="inlineStr">
        <is>
          <t>1. Deploy to the live server</t>
        </is>
      </c>
      <c r="C6" s="10" t="inlineStr">
        <is>
          <t>Verify the Ministry views</t>
        </is>
      </c>
      <c r="D6" s="10" t="inlineStr">
        <is>
          <t>bench --site &lt;site&gt; execute medical_hrms.jameah.verify.run -&gt; all 23 views OK (5 Employee, 8 Faculty, 10 Student).</t>
        </is>
      </c>
      <c r="E6" s="7" t="inlineStr">
        <is>
          <t>Developer (Abdul Hakeem)</t>
        </is>
      </c>
      <c r="F6" s="7" t="inlineStr">
        <is>
          <t>After deploy</t>
        </is>
      </c>
      <c r="G6" s="7" t="inlineStr">
        <is>
          <t>JM-06, JM-14</t>
        </is>
      </c>
      <c r="H6" s="11" t="inlineStr">
        <is>
          <t>Open</t>
        </is>
      </c>
      <c r="I6" s="11" t="inlineStr"/>
      <c r="J6" s="7" t="inlineStr">
        <is>
          <t>21 Oct 2026</t>
        </is>
      </c>
      <c r="K6" s="7" t="inlineStr">
        <is>
          <t>21 Oct 2026</t>
        </is>
      </c>
      <c r="L6" s="12" t="inlineStr"/>
    </row>
    <row r="7">
      <c r="A7" s="8" t="inlineStr">
        <is>
          <t>CL-06</t>
        </is>
      </c>
      <c r="B7" s="7" t="inlineStr">
        <is>
          <t>2. Check on the live server</t>
        </is>
      </c>
      <c r="C7" s="10" t="inlineStr">
        <is>
          <t>Error Log</t>
        </is>
      </c>
      <c r="D7" s="10" t="inlineStr">
        <is>
          <t>Open /app/error-log on the live site; group by title; note the times. This is where the client's 'random' error will show.</t>
        </is>
      </c>
      <c r="E7" s="7" t="inlineStr">
        <is>
          <t>Project owner</t>
        </is>
      </c>
      <c r="F7" s="7" t="inlineStr">
        <is>
          <t>Before UAT</t>
        </is>
      </c>
      <c r="G7" s="7" t="inlineStr">
        <is>
          <t>HR-46</t>
        </is>
      </c>
      <c r="H7" s="11" t="inlineStr">
        <is>
          <t>Open</t>
        </is>
      </c>
      <c r="I7" s="11" t="inlineStr"/>
      <c r="J7" s="7" t="inlineStr">
        <is>
          <t>21 Oct 2026</t>
        </is>
      </c>
      <c r="K7" s="7" t="inlineStr">
        <is>
          <t>21 Oct 2026</t>
        </is>
      </c>
      <c r="L7" s="12" t="inlineStr"/>
    </row>
    <row r="8">
      <c r="A8" s="8" t="inlineStr">
        <is>
          <t>CL-07</t>
        </is>
      </c>
      <c r="B8" s="7" t="inlineStr">
        <is>
          <t>2. Check on the live server</t>
        </is>
      </c>
      <c r="C8" s="10" t="inlineStr">
        <is>
          <t>System e-mail account</t>
        </is>
      </c>
      <c r="D8" s="10" t="inlineStr">
        <is>
          <t>Email Account 'Notifications' -&gt; re-enter the password -&gt; Save -&gt; send a test e-mail. Fixes 'Failed to decrypt key ...password'.</t>
        </is>
      </c>
      <c r="E8" s="7" t="inlineStr">
        <is>
          <t>Server admin</t>
        </is>
      </c>
      <c r="F8" s="7" t="inlineStr">
        <is>
          <t>Before UAT</t>
        </is>
      </c>
      <c r="G8" s="7" t="inlineStr">
        <is>
          <t>HR-47</t>
        </is>
      </c>
      <c r="H8" s="11" t="inlineStr">
        <is>
          <t>Open</t>
        </is>
      </c>
      <c r="I8" s="11" t="inlineStr"/>
      <c r="J8" s="7" t="inlineStr">
        <is>
          <t>21 Oct 2026</t>
        </is>
      </c>
      <c r="K8" s="7" t="inlineStr">
        <is>
          <t>21 Oct 2026</t>
        </is>
      </c>
      <c r="L8" s="12" t="inlineStr"/>
    </row>
    <row r="9">
      <c r="A9" s="8" t="inlineStr">
        <is>
          <t>CL-08</t>
        </is>
      </c>
      <c r="B9" s="7" t="inlineStr">
        <is>
          <t>2. Check on the live server</t>
        </is>
      </c>
      <c r="C9" s="10" t="inlineStr">
        <is>
          <t>Logo file</t>
        </is>
      </c>
      <c r="D9" s="10" t="inlineStr">
        <is>
          <t>Open /files/rchs-logo.png on the live site; upload it again if missing.</t>
        </is>
      </c>
      <c r="E9" s="7" t="inlineStr">
        <is>
          <t>Server admin</t>
        </is>
      </c>
      <c r="F9" s="7" t="inlineStr">
        <is>
          <t>Before UAT</t>
        </is>
      </c>
      <c r="G9" s="7" t="inlineStr">
        <is>
          <t>HR-54</t>
        </is>
      </c>
      <c r="H9" s="11" t="inlineStr">
        <is>
          <t>Open</t>
        </is>
      </c>
      <c r="I9" s="11" t="inlineStr"/>
      <c r="J9" s="7" t="inlineStr">
        <is>
          <t>21 Oct 2026</t>
        </is>
      </c>
      <c r="K9" s="7" t="inlineStr">
        <is>
          <t>21 Oct 2026</t>
        </is>
      </c>
      <c r="L9" s="12" t="inlineStr"/>
    </row>
    <row r="10">
      <c r="A10" s="8" t="inlineStr">
        <is>
          <t>CL-09</t>
        </is>
      </c>
      <c r="B10" s="7" t="inlineStr">
        <is>
          <t>2. Check on the live server</t>
        </is>
      </c>
      <c r="C10" s="10" t="inlineStr">
        <is>
          <t>Real HR login</t>
        </is>
      </c>
      <c r="D10" s="10" t="inlineStr">
        <is>
          <t>Log in with a real HR account (or Impersonate) and confirm the HR Portal opens.</t>
        </is>
      </c>
      <c r="E10" s="7" t="inlineStr">
        <is>
          <t>Project owner</t>
        </is>
      </c>
      <c r="F10" s="7" t="inlineStr">
        <is>
          <t>After deploy</t>
        </is>
      </c>
      <c r="G10" s="7" t="inlineStr">
        <is>
          <t>HR-45</t>
        </is>
      </c>
      <c r="H10" s="11" t="inlineStr">
        <is>
          <t>Open</t>
        </is>
      </c>
      <c r="I10" s="11" t="inlineStr"/>
      <c r="J10" s="7" t="inlineStr">
        <is>
          <t>21 Oct 2026</t>
        </is>
      </c>
      <c r="K10" s="7" t="inlineStr">
        <is>
          <t>21 Oct 2026</t>
        </is>
      </c>
      <c r="L10" s="12" t="inlineStr"/>
    </row>
    <row r="11">
      <c r="A11" s="8" t="inlineStr">
        <is>
          <t>CL-10</t>
        </is>
      </c>
      <c r="B11" s="7" t="inlineStr">
        <is>
          <t>2. Check on the live server</t>
        </is>
      </c>
      <c r="C11" s="10" t="inlineStr">
        <is>
          <t>Real instructor / HOD / advisor logins</t>
        </is>
      </c>
      <c r="D11" s="10" t="inlineStr">
        <is>
          <t>Impersonate one of each and confirm their own dashboards still open.</t>
        </is>
      </c>
      <c r="E11" s="7" t="inlineStr">
        <is>
          <t>Project owner</t>
        </is>
      </c>
      <c r="F11" s="7" t="inlineStr">
        <is>
          <t>After deploy</t>
        </is>
      </c>
      <c r="G11" s="7" t="inlineStr">
        <is>
          <t>HR-45</t>
        </is>
      </c>
      <c r="H11" s="11" t="inlineStr">
        <is>
          <t>Open</t>
        </is>
      </c>
      <c r="I11" s="11" t="inlineStr"/>
      <c r="J11" s="7" t="inlineStr">
        <is>
          <t>21 Oct 2026</t>
        </is>
      </c>
      <c r="K11" s="7" t="inlineStr">
        <is>
          <t>21 Oct 2026</t>
        </is>
      </c>
      <c r="L11" s="12" t="inlineStr"/>
    </row>
    <row r="12">
      <c r="A12" s="8" t="inlineStr">
        <is>
          <t>CL-11</t>
        </is>
      </c>
      <c r="B12" s="7" t="inlineStr">
        <is>
          <t>2. Check on the live server</t>
        </is>
      </c>
      <c r="C12" s="10" t="inlineStr">
        <is>
          <t>Real non-Saudi employees</t>
        </is>
      </c>
      <c r="D12" s="10" t="inlineStr">
        <is>
          <t>As HR open 2-3 real non-Saudi (Iqama) employees: no 'Not Saved' on opening; edit a field and Save.</t>
        </is>
      </c>
      <c r="E12" s="7" t="inlineStr">
        <is>
          <t>Project owner</t>
        </is>
      </c>
      <c r="F12" s="7" t="inlineStr">
        <is>
          <t>After deploy</t>
        </is>
      </c>
      <c r="G12" s="7" t="inlineStr">
        <is>
          <t>HR-63</t>
        </is>
      </c>
      <c r="H12" s="11" t="inlineStr">
        <is>
          <t>Open</t>
        </is>
      </c>
      <c r="I12" s="11" t="inlineStr"/>
      <c r="J12" s="7" t="inlineStr">
        <is>
          <t>21 Oct 2026</t>
        </is>
      </c>
      <c r="K12" s="7" t="inlineStr">
        <is>
          <t>21 Oct 2026</t>
        </is>
      </c>
      <c r="L12" s="12" t="inlineStr"/>
    </row>
    <row r="13">
      <c r="A13" s="8" t="inlineStr">
        <is>
          <t>CL-41</t>
        </is>
      </c>
      <c r="B13" s="7" t="inlineStr">
        <is>
          <t>2. Check on the live server</t>
        </is>
      </c>
      <c r="C13" s="10" t="inlineStr">
        <is>
          <t>Notification e-mails</t>
        </is>
      </c>
      <c r="D13" s="10" t="inlineStr">
        <is>
          <t>After the e-mail account works (HR-47): an employee sends a request and HR rejects it with a reason; HR and the employee each get the e-mail and its link opens the request (TC-ESS-23).</t>
        </is>
      </c>
      <c r="E13" s="7" t="inlineStr">
        <is>
          <t>Testing team</t>
        </is>
      </c>
      <c r="F13" s="7" t="inlineStr">
        <is>
          <t>After HR-47</t>
        </is>
      </c>
      <c r="G13" s="7" t="inlineStr">
        <is>
          <t>HR-25, HR-47</t>
        </is>
      </c>
      <c r="H13" s="11" t="inlineStr">
        <is>
          <t>Open</t>
        </is>
      </c>
      <c r="I13" s="11" t="inlineStr"/>
      <c r="J13" s="7" t="inlineStr">
        <is>
          <t>27 Oct 2026</t>
        </is>
      </c>
      <c r="K13" s="7" t="inlineStr">
        <is>
          <t>27 Oct 2026</t>
        </is>
      </c>
      <c r="L13" s="12" t="inlineStr"/>
    </row>
    <row r="14">
      <c r="A14" s="8" t="inlineStr">
        <is>
          <t>CL-12</t>
        </is>
      </c>
      <c r="B14" s="7" t="inlineStr">
        <is>
          <t>3. Decisions</t>
        </is>
      </c>
      <c r="C14" s="10" t="inlineStr">
        <is>
          <t>Ministry view and column names</t>
        </is>
      </c>
      <c r="D14" s="10" t="inlineStr">
        <is>
          <t>Ask which names the Jameah agent reads (HTML or schema V0.1), including the HTML spellings EnglishFourhtName and Summury.</t>
        </is>
      </c>
      <c r="E14" s="7" t="inlineStr">
        <is>
          <t>Ministry contact (Ms. Najah)</t>
        </is>
      </c>
      <c r="F14" s="7" t="inlineStr">
        <is>
          <t>Before Jameah go-live</t>
        </is>
      </c>
      <c r="G14" s="7" t="inlineStr">
        <is>
          <t>DEC-01</t>
        </is>
      </c>
      <c r="H14" s="11" t="inlineStr">
        <is>
          <t>Open</t>
        </is>
      </c>
      <c r="I14" s="11" t="inlineStr"/>
      <c r="J14" s="7" t="inlineStr">
        <is>
          <t>21 Oct 2026</t>
        </is>
      </c>
      <c r="K14" s="7" t="inlineStr">
        <is>
          <t>21 Oct 2026</t>
        </is>
      </c>
      <c r="L14" s="12" t="inlineStr"/>
    </row>
    <row r="15">
      <c r="A15" s="8" t="inlineStr">
        <is>
          <t>CL-13</t>
        </is>
      </c>
      <c r="B15" s="7" t="inlineStr">
        <is>
          <t>3. Decisions</t>
        </is>
      </c>
      <c r="C15" s="10" t="inlineStr">
        <is>
          <t>Read-only database account for the Ministry</t>
        </is>
      </c>
      <c r="D15" s="10" t="inlineStr">
        <is>
          <t>Create it with medical_hrms.jameah.views.grant_statements and give the Ministry the connection details.</t>
        </is>
      </c>
      <c r="E15" s="7" t="inlineStr">
        <is>
          <t>Server admin</t>
        </is>
      </c>
      <c r="F15" s="7" t="inlineStr">
        <is>
          <t>Before Jameah go-live</t>
        </is>
      </c>
      <c r="G15" s="7" t="inlineStr">
        <is>
          <t>JM-08</t>
        </is>
      </c>
      <c r="H15" s="11" t="inlineStr">
        <is>
          <t>Open</t>
        </is>
      </c>
      <c r="I15" s="11" t="inlineStr"/>
      <c r="J15" s="7" t="inlineStr">
        <is>
          <t>21 Oct 2026</t>
        </is>
      </c>
      <c r="K15" s="7" t="inlineStr">
        <is>
          <t>21 Oct 2026</t>
        </is>
      </c>
      <c r="L15" s="12" t="inlineStr"/>
    </row>
    <row r="16">
      <c r="A16" s="8" t="inlineStr">
        <is>
          <t>CL-14</t>
        </is>
      </c>
      <c r="B16" s="7" t="inlineStr">
        <is>
          <t>3. Decisions</t>
        </is>
      </c>
      <c r="C16" s="10" t="inlineStr">
        <is>
          <t>Jameah Settings and Student code decisions</t>
        </is>
      </c>
      <c r="D16" s="10" t="inlineStr">
        <is>
          <t>Answers for DEC-02 - DEC-07, entered in Jameah Settings and the Code Map.</t>
        </is>
      </c>
      <c r="E16" s="7" t="inlineStr">
        <is>
          <t>Academic Affairs</t>
        </is>
      </c>
      <c r="F16" s="7" t="inlineStr">
        <is>
          <t>Before Jameah go-live</t>
        </is>
      </c>
      <c r="G16" s="7" t="inlineStr">
        <is>
          <t>DEC-02 - DEC-07</t>
        </is>
      </c>
      <c r="H16" s="11" t="inlineStr">
        <is>
          <t>Open</t>
        </is>
      </c>
      <c r="I16" s="11" t="inlineStr"/>
      <c r="J16" s="7" t="inlineStr">
        <is>
          <t>21 Oct 2026</t>
        </is>
      </c>
      <c r="K16" s="7" t="inlineStr">
        <is>
          <t>21 Oct 2026</t>
        </is>
      </c>
      <c r="L16" s="12" t="inlineStr"/>
    </row>
    <row r="17">
      <c r="A17" s="8" t="inlineStr">
        <is>
          <t>CL-15</t>
        </is>
      </c>
      <c r="B17" s="7" t="inlineStr">
        <is>
          <t>3. Decisions</t>
        </is>
      </c>
      <c r="C17" s="10" t="inlineStr">
        <is>
          <t>Credit-hour definitions</t>
        </is>
      </c>
      <c r="D17" s="10" t="inlineStr">
        <is>
          <t>Confirm Registered = this term's hours; Passed = earned + bridged plan hours.</t>
        </is>
      </c>
      <c r="E17" s="7" t="inlineStr">
        <is>
          <t>Academic Affairs</t>
        </is>
      </c>
      <c r="F17" s="7" t="inlineStr">
        <is>
          <t>Before Jameah go-live</t>
        </is>
      </c>
      <c r="G17" s="7" t="inlineStr">
        <is>
          <t>DEC-11</t>
        </is>
      </c>
      <c r="H17" s="11" t="inlineStr">
        <is>
          <t>Open</t>
        </is>
      </c>
      <c r="I17" s="11" t="inlineStr"/>
      <c r="J17" s="7" t="inlineStr">
        <is>
          <t>21 Oct 2026</t>
        </is>
      </c>
      <c r="K17" s="7" t="inlineStr">
        <is>
          <t>21 Oct 2026</t>
        </is>
      </c>
      <c r="L17" s="12" t="inlineStr"/>
    </row>
    <row r="18">
      <c r="A18" s="8" t="inlineStr">
        <is>
          <t>CL-16</t>
        </is>
      </c>
      <c r="B18" s="7" t="inlineStr">
        <is>
          <t>3. Decisions</t>
        </is>
      </c>
      <c r="C18" s="10" t="inlineStr">
        <is>
          <t>Which faculty are sent</t>
        </is>
      </c>
      <c r="D18" s="10" t="inlineStr">
        <is>
          <t>Active Instructors only (as built), or also former (Left) ones.</t>
        </is>
      </c>
      <c r="E18" s="7" t="inlineStr">
        <is>
          <t>Academic Affairs</t>
        </is>
      </c>
      <c r="F18" s="7" t="inlineStr">
        <is>
          <t>Before Jameah go-live</t>
        </is>
      </c>
      <c r="G18" s="7" t="inlineStr">
        <is>
          <t>DEC-12</t>
        </is>
      </c>
      <c r="H18" s="11" t="inlineStr">
        <is>
          <t>Open</t>
        </is>
      </c>
      <c r="I18" s="11" t="inlineStr"/>
      <c r="J18" s="7" t="inlineStr">
        <is>
          <t>21 Oct 2026</t>
        </is>
      </c>
      <c r="K18" s="7" t="inlineStr">
        <is>
          <t>21 Oct 2026</t>
        </is>
      </c>
      <c r="L18" s="12" t="inlineStr"/>
    </row>
    <row r="19">
      <c r="A19" s="8" t="inlineStr">
        <is>
          <t>CL-17</t>
        </is>
      </c>
      <c r="B19" s="7" t="inlineStr">
        <is>
          <t>3. Decisions</t>
        </is>
      </c>
      <c r="C19" s="10" t="inlineStr">
        <is>
          <t>Faculty status and contract codes</t>
        </is>
      </c>
      <c r="D19" s="10" t="inlineStr">
        <is>
          <t>Pick the Ministry code for Faculty Status 'Active' and Contract Type 'Full Time' in Jameah Code Map.</t>
        </is>
      </c>
      <c r="E19" s="7" t="inlineStr">
        <is>
          <t>Academic Affairs</t>
        </is>
      </c>
      <c r="F19" s="7" t="inlineStr">
        <is>
          <t>Before Jameah go-live</t>
        </is>
      </c>
      <c r="G19" s="7" t="inlineStr">
        <is>
          <t>DEC-13</t>
        </is>
      </c>
      <c r="H19" s="11" t="inlineStr">
        <is>
          <t>Open</t>
        </is>
      </c>
      <c r="I19" s="11" t="inlineStr"/>
      <c r="J19" s="7" t="inlineStr">
        <is>
          <t>21 Oct 2026</t>
        </is>
      </c>
      <c r="K19" s="7" t="inlineStr">
        <is>
          <t>21 Oct 2026</t>
        </is>
      </c>
      <c r="L19" s="12" t="inlineStr"/>
    </row>
    <row r="20">
      <c r="A20" s="8" t="inlineStr">
        <is>
          <t>CL-18</t>
        </is>
      </c>
      <c r="B20" s="7" t="inlineStr">
        <is>
          <t>3. Decisions</t>
        </is>
      </c>
      <c r="C20" s="10" t="inlineStr">
        <is>
          <t>Demo employee EMP-00001</t>
        </is>
      </c>
      <c r="D20" s="10" t="inlineStr">
        <is>
          <t>Complete it or delete it before go-live (it misses Ministry-mandatory fields).</t>
        </is>
      </c>
      <c r="E20" s="7" t="inlineStr">
        <is>
          <t>HR</t>
        </is>
      </c>
      <c r="F20" s="7" t="inlineStr">
        <is>
          <t>Before go-live</t>
        </is>
      </c>
      <c r="G20" s="7" t="inlineStr">
        <is>
          <t>HR-53</t>
        </is>
      </c>
      <c r="H20" s="11" t="inlineStr">
        <is>
          <t>Open</t>
        </is>
      </c>
      <c r="I20" s="11" t="inlineStr"/>
      <c r="J20" s="7" t="inlineStr">
        <is>
          <t>21 Oct 2026</t>
        </is>
      </c>
      <c r="K20" s="7" t="inlineStr">
        <is>
          <t>21 Oct 2026</t>
        </is>
      </c>
      <c r="L20" s="12" t="inlineStr"/>
    </row>
    <row r="21">
      <c r="A21" s="8" t="inlineStr">
        <is>
          <t>CL-19</t>
        </is>
      </c>
      <c r="B21" s="7" t="inlineStr">
        <is>
          <t>4. HR data</t>
        </is>
      </c>
      <c r="C21" s="10" t="inlineStr">
        <is>
          <t>Instructor data sheet</t>
        </is>
      </c>
      <c r="D21" s="10" t="inlineStr">
        <is>
          <t>Fill the Instructor sheet so the existing Instructors are linked to Employees; the Faculty views fill in as they are.</t>
        </is>
      </c>
      <c r="E21" s="7" t="inlineStr">
        <is>
          <t>HR</t>
        </is>
      </c>
      <c r="F21" s="7" t="inlineStr">
        <is>
          <t>Before Jameah go-live</t>
        </is>
      </c>
      <c r="G21" s="7" t="inlineStr">
        <is>
          <t>HR-55</t>
        </is>
      </c>
      <c r="H21" s="11" t="inlineStr">
        <is>
          <t>Open</t>
        </is>
      </c>
      <c r="I21" s="11" t="inlineStr"/>
      <c r="J21" s="7" t="inlineStr">
        <is>
          <t>21 Oct 2026</t>
        </is>
      </c>
      <c r="K21" s="7" t="inlineStr">
        <is>
          <t>21 Oct 2026</t>
        </is>
      </c>
      <c r="L21" s="12" t="inlineStr"/>
    </row>
    <row r="22">
      <c r="A22" s="8" t="inlineStr">
        <is>
          <t>CL-20</t>
        </is>
      </c>
      <c r="B22" s="7" t="inlineStr">
        <is>
          <t>4. HR data</t>
        </is>
      </c>
      <c r="C22" s="10" t="inlineStr">
        <is>
          <t>Non-academic staff data sheet</t>
        </is>
      </c>
      <c r="D22" s="10" t="inlineStr">
        <is>
          <t>Employees Missing Ministry Data report -&gt; Download Data Sheet -&gt; fill the red cells -&gt; Check -&gt; Import.</t>
        </is>
      </c>
      <c r="E22" s="7" t="inlineStr">
        <is>
          <t>HR</t>
        </is>
      </c>
      <c r="F22" s="7" t="inlineStr">
        <is>
          <t>Before Jameah go-live</t>
        </is>
      </c>
      <c r="G22" s="7" t="inlineStr">
        <is>
          <t>HR-50</t>
        </is>
      </c>
      <c r="H22" s="11" t="inlineStr">
        <is>
          <t>Open</t>
        </is>
      </c>
      <c r="I22" s="11" t="inlineStr"/>
      <c r="J22" s="7" t="inlineStr">
        <is>
          <t>21 Oct 2026</t>
        </is>
      </c>
      <c r="K22" s="7" t="inlineStr">
        <is>
          <t>21 Oct 2026</t>
        </is>
      </c>
      <c r="L22" s="12" t="inlineStr"/>
    </row>
    <row r="23">
      <c r="A23" s="8" t="inlineStr">
        <is>
          <t>CL-21</t>
        </is>
      </c>
      <c r="B23" s="7" t="inlineStr">
        <is>
          <t>4. HR data</t>
        </is>
      </c>
      <c r="C23" s="10" t="inlineStr">
        <is>
          <t>Academic Holiday List</t>
        </is>
      </c>
      <c r="D23" s="10" t="inlineStr">
        <is>
          <t>Set it in HR Settings &gt; Academic Schedules &amp; Presence.</t>
        </is>
      </c>
      <c r="E23" s="7" t="inlineStr">
        <is>
          <t>HR</t>
        </is>
      </c>
      <c r="F23" s="7" t="inlineStr">
        <is>
          <t>Before UAT</t>
        </is>
      </c>
      <c r="G23" s="7" t="inlineStr">
        <is>
          <t>HR-57</t>
        </is>
      </c>
      <c r="H23" s="11" t="inlineStr">
        <is>
          <t>Open</t>
        </is>
      </c>
      <c r="I23" s="11" t="inlineStr"/>
      <c r="J23" s="7" t="inlineStr">
        <is>
          <t>21 Oct 2026</t>
        </is>
      </c>
      <c r="K23" s="7" t="inlineStr">
        <is>
          <t>21 Oct 2026</t>
        </is>
      </c>
      <c r="L23" s="12" t="inlineStr"/>
    </row>
    <row r="24">
      <c r="A24" s="8" t="inlineStr">
        <is>
          <t>CL-38</t>
        </is>
      </c>
      <c r="B24" s="7" t="inlineStr">
        <is>
          <t>4. HR data</t>
        </is>
      </c>
      <c r="C24" s="10" t="inlineStr">
        <is>
          <t>Exam committees with proctors</t>
        </is>
      </c>
      <c r="D24" s="10" t="inlineStr">
        <is>
          <t>Enter the exam committees (date, time, room) with their proctors; until then Proctor Schedules is empty. Needed to review HR requirement 2.</t>
        </is>
      </c>
      <c r="E24" s="7" t="inlineStr">
        <is>
          <t>Academic Affairs</t>
        </is>
      </c>
      <c r="F24" s="7" t="inlineStr">
        <is>
          <t>Before the HR review meeting</t>
        </is>
      </c>
      <c r="G24" s="7" t="inlineStr">
        <is>
          <t>HR-37</t>
        </is>
      </c>
      <c r="H24" s="11" t="inlineStr">
        <is>
          <t>Open</t>
        </is>
      </c>
      <c r="I24" s="11" t="inlineStr"/>
      <c r="J24" s="7" t="inlineStr">
        <is>
          <t>23 Oct 2026</t>
        </is>
      </c>
      <c r="K24" s="7" t="inlineStr">
        <is>
          <t>23 Oct 2026</t>
        </is>
      </c>
      <c r="L24" s="12" t="inlineStr"/>
    </row>
    <row r="25">
      <c r="A25" s="8" t="inlineStr">
        <is>
          <t>CL-40</t>
        </is>
      </c>
      <c r="B25" s="7" t="inlineStr">
        <is>
          <t>4. HR data</t>
        </is>
      </c>
      <c r="C25" s="10" t="inlineStr">
        <is>
          <t>Leave e-mail templates</t>
        </is>
      </c>
      <c r="D25" s="10" t="inlineStr">
        <is>
          <t>HR Settings -&gt; Leave Approval Notification Template = Leave Approval Notification, Leave Status Notification Template = Leave Status Notification (both come with HRMS). Without them leave approvers and employees get no leave e-mails.</t>
        </is>
      </c>
      <c r="E25" s="7" t="inlineStr">
        <is>
          <t>HR</t>
        </is>
      </c>
      <c r="F25" s="7" t="inlineStr">
        <is>
          <t>Before UAT</t>
        </is>
      </c>
      <c r="G25" s="7" t="inlineStr">
        <is>
          <t>HR-25</t>
        </is>
      </c>
      <c r="H25" s="11" t="inlineStr">
        <is>
          <t>Open</t>
        </is>
      </c>
      <c r="I25" s="11" t="inlineStr"/>
      <c r="J25" s="7" t="inlineStr">
        <is>
          <t>27 Oct 2026</t>
        </is>
      </c>
      <c r="K25" s="7" t="inlineStr">
        <is>
          <t>27 Oct 2026</t>
        </is>
      </c>
      <c r="L25" s="12" t="inlineStr"/>
    </row>
    <row r="26">
      <c r="A26" s="8" t="inlineStr">
        <is>
          <t>CL-28</t>
        </is>
      </c>
      <c r="B26" s="7" t="inlineStr">
        <is>
          <t>4. HR data</t>
        </is>
      </c>
      <c r="C26" s="10" t="inlineStr">
        <is>
          <t>Leave period for Al Riyada College</t>
        </is>
      </c>
      <c r="D26" s="10" t="inlineStr">
        <is>
          <t>HR Portal &gt; Leave &gt; Yearly setup 1: Leave Period for this year, company Al Riyada College, tick Is Active.</t>
        </is>
      </c>
      <c r="E26" s="7" t="inlineStr">
        <is>
          <t>HR</t>
        </is>
      </c>
      <c r="F26" s="7" t="inlineStr">
        <is>
          <t>Before UAT</t>
        </is>
      </c>
      <c r="G26" s="7" t="inlineStr">
        <is>
          <t>HR-69</t>
        </is>
      </c>
      <c r="H26" s="11" t="inlineStr">
        <is>
          <t>Open</t>
        </is>
      </c>
      <c r="I26" s="11" t="inlineStr"/>
      <c r="J26" s="7" t="inlineStr">
        <is>
          <t>22 Oct 2026</t>
        </is>
      </c>
      <c r="K26" s="7" t="inlineStr">
        <is>
          <t>22 Oct 2026</t>
        </is>
      </c>
      <c r="L26" s="12" t="inlineStr"/>
    </row>
    <row r="27">
      <c r="A27" s="8" t="inlineStr">
        <is>
          <t>CL-29</t>
        </is>
      </c>
      <c r="B27" s="7" t="inlineStr">
        <is>
          <t>4. HR data</t>
        </is>
      </c>
      <c r="C27" s="10" t="inlineStr">
        <is>
          <t>Holiday list for Al Riyada College</t>
        </is>
      </c>
      <c r="D27" s="10" t="inlineStr">
        <is>
          <t>Step 2: Holiday List with the official holidays and weekends; set it as the default holiday list on the Company.</t>
        </is>
      </c>
      <c r="E27" s="7" t="inlineStr">
        <is>
          <t>HR</t>
        </is>
      </c>
      <c r="F27" s="7" t="inlineStr">
        <is>
          <t>Before UAT</t>
        </is>
      </c>
      <c r="G27" s="7" t="inlineStr">
        <is>
          <t>HR-69, DEC-10</t>
        </is>
      </c>
      <c r="H27" s="11" t="inlineStr">
        <is>
          <t>Open</t>
        </is>
      </c>
      <c r="I27" s="11" t="inlineStr"/>
      <c r="J27" s="7" t="inlineStr">
        <is>
          <t>22 Oct 2026</t>
        </is>
      </c>
      <c r="K27" s="7" t="inlineStr">
        <is>
          <t>22 Oct 2026</t>
        </is>
      </c>
      <c r="L27" s="12" t="inlineStr"/>
    </row>
    <row r="28">
      <c r="A28" s="8" t="inlineStr">
        <is>
          <t>CL-30</t>
        </is>
      </c>
      <c r="B28" s="7" t="inlineStr">
        <is>
          <t>4. HR data</t>
        </is>
      </c>
      <c r="C28" s="10" t="inlineStr">
        <is>
          <t>Leave approvers</t>
        </is>
      </c>
      <c r="D28" s="10" t="inlineStr">
        <is>
          <t>Step 5: set the leave approver on each Department (Leave Approvers table) or on each Employee. Check the Leave setup check on the live server for how many have none.</t>
        </is>
      </c>
      <c r="E28" s="7" t="inlineStr">
        <is>
          <t>HR</t>
        </is>
      </c>
      <c r="F28" s="7" t="inlineStr">
        <is>
          <t>Before UAT</t>
        </is>
      </c>
      <c r="G28" s="7" t="inlineStr">
        <is>
          <t>HR-69</t>
        </is>
      </c>
      <c r="H28" s="11" t="inlineStr">
        <is>
          <t>Open</t>
        </is>
      </c>
      <c r="I28" s="11" t="inlineStr"/>
      <c r="J28" s="7" t="inlineStr">
        <is>
          <t>22 Oct 2026</t>
        </is>
      </c>
      <c r="K28" s="7" t="inlineStr">
        <is>
          <t>23 Oct 2026</t>
        </is>
      </c>
      <c r="L28" s="12" t="inlineStr"/>
    </row>
    <row r="29">
      <c r="A29" s="8" t="inlineStr">
        <is>
          <t>CL-31</t>
        </is>
      </c>
      <c r="B29" s="7" t="inlineStr">
        <is>
          <t>4. HR data</t>
        </is>
      </c>
      <c r="C29" s="10" t="inlineStr">
        <is>
          <t>Annual leave balances</t>
        </is>
      </c>
      <c r="D29" s="10" t="inlineStr">
        <is>
          <t>Steps 3-4: submit the annual leave policy (21 or 30 days) and assign it with Leave Control Panel; the Leave setup check turns green.</t>
        </is>
      </c>
      <c r="E29" s="7" t="inlineStr">
        <is>
          <t>HR</t>
        </is>
      </c>
      <c r="F29" s="7" t="inlineStr">
        <is>
          <t>Before UAT</t>
        </is>
      </c>
      <c r="G29" s="7" t="inlineStr">
        <is>
          <t>HR-69</t>
        </is>
      </c>
      <c r="H29" s="11" t="inlineStr">
        <is>
          <t>Open</t>
        </is>
      </c>
      <c r="I29" s="11" t="inlineStr"/>
      <c r="J29" s="7" t="inlineStr">
        <is>
          <t>22 Oct 2026</t>
        </is>
      </c>
      <c r="K29" s="7" t="inlineStr">
        <is>
          <t>22 Oct 2026</t>
        </is>
      </c>
      <c r="L29" s="12" t="inlineStr"/>
    </row>
    <row r="30">
      <c r="A30" s="8" t="inlineStr">
        <is>
          <t>CL-32</t>
        </is>
      </c>
      <c r="B30" s="7" t="inlineStr">
        <is>
          <t>4. HR data</t>
        </is>
      </c>
      <c r="C30" s="10" t="inlineStr">
        <is>
          <t>Sick Leave policy</t>
        </is>
      </c>
      <c r="D30" s="10" t="inlineStr">
        <is>
          <t>Review and submit 'Medical HRMS - Sick Leave (3 Pay Stages, Separate Sick Year)'; Finance checks the 75% pay on a salary slip.</t>
        </is>
      </c>
      <c r="E30" s="7" t="inlineStr">
        <is>
          <t>HR + Finance</t>
        </is>
      </c>
      <c r="F30" s="7" t="inlineStr">
        <is>
          <t>Before UAT</t>
        </is>
      </c>
      <c r="G30" s="7" t="inlineStr">
        <is>
          <t>HR-20, DEC-14</t>
        </is>
      </c>
      <c r="H30" s="11" t="inlineStr">
        <is>
          <t>Open</t>
        </is>
      </c>
      <c r="I30" s="11" t="inlineStr"/>
      <c r="J30" s="7" t="inlineStr">
        <is>
          <t>22 Oct 2026</t>
        </is>
      </c>
      <c r="K30" s="7" t="inlineStr">
        <is>
          <t>22 Oct 2026</t>
        </is>
      </c>
      <c r="L30" s="12" t="inlineStr"/>
    </row>
    <row r="31">
      <c r="A31" s="8" t="inlineStr">
        <is>
          <t>CL-22</t>
        </is>
      </c>
      <c r="B31" s="7" t="inlineStr">
        <is>
          <t>4. HR data</t>
        </is>
      </c>
      <c r="C31" s="10" t="inlineStr">
        <is>
          <t>Attendance devices</t>
        </is>
      </c>
      <c r="D31" s="10" t="inlineStr">
        <is>
          <t>Connect the devices so Faculty After 4 PM uses real check-out times.</t>
        </is>
      </c>
      <c r="E31" s="7" t="inlineStr">
        <is>
          <t>HR + IT</t>
        </is>
      </c>
      <c r="F31" s="7" t="inlineStr">
        <is>
          <t>Later</t>
        </is>
      </c>
      <c r="G31" s="7" t="inlineStr">
        <is>
          <t>HR-56</t>
        </is>
      </c>
      <c r="H31" s="11" t="inlineStr">
        <is>
          <t>Open</t>
        </is>
      </c>
      <c r="I31" s="11" t="inlineStr"/>
      <c r="J31" s="7" t="inlineStr">
        <is>
          <t>21 Oct 2026</t>
        </is>
      </c>
      <c r="K31" s="7" t="inlineStr">
        <is>
          <t>21 Oct 2026</t>
        </is>
      </c>
      <c r="L31" s="12" t="inlineStr"/>
    </row>
    <row r="32">
      <c r="A32" s="8" t="inlineStr">
        <is>
          <t>CL-23</t>
        </is>
      </c>
      <c r="B32" s="7" t="inlineStr">
        <is>
          <t>5. Reviews and testing</t>
        </is>
      </c>
      <c r="C32" s="10" t="inlineStr">
        <is>
          <t>Run the test cases</t>
        </is>
      </c>
      <c r="D32" s="10" t="inlineStr">
        <is>
          <t>Testing team works through Medical_HRMS_Jameah_Test_Cases.xlsx and records results and bugs there. Started 27 Oct with the test cases and both guides.</t>
        </is>
      </c>
      <c r="E32" s="7" t="inlineStr">
        <is>
          <t>Testing team</t>
        </is>
      </c>
      <c r="F32" s="7" t="inlineStr">
        <is>
          <t>UAT</t>
        </is>
      </c>
      <c r="G32" s="7" t="inlineStr">
        <is>
          <t>HR-46, HR-75</t>
        </is>
      </c>
      <c r="H32" s="11" t="inlineStr">
        <is>
          <t>In progress</t>
        </is>
      </c>
      <c r="I32" s="11" t="inlineStr"/>
      <c r="J32" s="7" t="inlineStr">
        <is>
          <t>21 Oct 2026</t>
        </is>
      </c>
      <c r="K32" s="7" t="inlineStr">
        <is>
          <t>27 Oct 2026</t>
        </is>
      </c>
      <c r="L32" s="12" t="inlineStr"/>
    </row>
    <row r="33">
      <c r="A33" s="8" t="inlineStr">
        <is>
          <t>CL-24</t>
        </is>
      </c>
      <c r="B33" s="7" t="inlineStr">
        <is>
          <t>5. Reviews and testing</t>
        </is>
      </c>
      <c r="C33" s="10" t="inlineStr">
        <is>
          <t>Arabic labels</t>
        </is>
      </c>
      <c r="D33" s="10" t="inlineStr">
        <is>
          <t>An Arabic speaker reads the HR / Employee Portal pages in Arabic and lists wording to change, including the 114 new leave texts (22 Oct).</t>
        </is>
      </c>
      <c r="E33" s="7" t="inlineStr">
        <is>
          <t>Project owner</t>
        </is>
      </c>
      <c r="F33" s="7" t="inlineStr">
        <is>
          <t>UAT</t>
        </is>
      </c>
      <c r="G33" s="7" t="inlineStr">
        <is>
          <t>HR-66, HR-68</t>
        </is>
      </c>
      <c r="H33" s="11" t="inlineStr">
        <is>
          <t>Open</t>
        </is>
      </c>
      <c r="I33" s="11" t="inlineStr"/>
      <c r="J33" s="7" t="inlineStr">
        <is>
          <t>21 Oct 2026</t>
        </is>
      </c>
      <c r="K33" s="7" t="inlineStr">
        <is>
          <t>22 Oct 2026</t>
        </is>
      </c>
      <c r="L33" s="12" t="inlineStr"/>
    </row>
    <row r="34">
      <c r="A34" s="8" t="inlineStr">
        <is>
          <t>CL-25</t>
        </is>
      </c>
      <c r="B34" s="7" t="inlineStr">
        <is>
          <t>5. Reviews and testing</t>
        </is>
      </c>
      <c r="C34" s="10" t="inlineStr">
        <is>
          <t>Portal design approval</t>
        </is>
      </c>
      <c r="D34" s="10" t="inlineStr">
        <is>
          <t>Client confirms the new HR Portal / Employee Portal look.</t>
        </is>
      </c>
      <c r="E34" s="7" t="inlineStr">
        <is>
          <t>Project owner</t>
        </is>
      </c>
      <c r="F34" s="7" t="inlineStr">
        <is>
          <t>UAT</t>
        </is>
      </c>
      <c r="G34" s="7" t="inlineStr">
        <is>
          <t>HR-66</t>
        </is>
      </c>
      <c r="H34" s="11" t="inlineStr">
        <is>
          <t>Open</t>
        </is>
      </c>
      <c r="I34" s="11" t="inlineStr"/>
      <c r="J34" s="7" t="inlineStr">
        <is>
          <t>21 Oct 2026</t>
        </is>
      </c>
      <c r="K34" s="7" t="inlineStr">
        <is>
          <t>21 Oct 2026</t>
        </is>
      </c>
      <c r="L34" s="12" t="inlineStr"/>
    </row>
    <row r="35">
      <c r="A35" s="8" t="inlineStr">
        <is>
          <t>CL-33</t>
        </is>
      </c>
      <c r="B35" s="7" t="inlineStr">
        <is>
          <t>5. Reviews and testing</t>
        </is>
      </c>
      <c r="C35" s="10" t="inlineStr">
        <is>
          <t>Leave flow UAT</t>
        </is>
      </c>
      <c r="D35" s="10" t="inlineStr">
        <is>
          <t>An employee and their manager go through TC-LV-09 - TC-LV-17: plan, apply now, approve, return (also after sick leave).</t>
        </is>
      </c>
      <c r="E35" s="7" t="inlineStr">
        <is>
          <t>Testing team</t>
        </is>
      </c>
      <c r="F35" s="7" t="inlineStr">
        <is>
          <t>UAT</t>
        </is>
      </c>
      <c r="G35" s="7" t="inlineStr">
        <is>
          <t>HR-68</t>
        </is>
      </c>
      <c r="H35" s="11" t="inlineStr">
        <is>
          <t>Open</t>
        </is>
      </c>
      <c r="I35" s="11" t="inlineStr"/>
      <c r="J35" s="7" t="inlineStr">
        <is>
          <t>22 Oct 2026</t>
        </is>
      </c>
      <c r="K35" s="7" t="inlineStr">
        <is>
          <t>22 Oct 2026</t>
        </is>
      </c>
      <c r="L35" s="12" t="inlineStr"/>
    </row>
    <row r="36">
      <c r="A36" s="8" t="inlineStr">
        <is>
          <t>CL-26</t>
        </is>
      </c>
      <c r="B36" s="7" t="inlineStr">
        <is>
          <t>5. Reviews and testing</t>
        </is>
      </c>
      <c r="C36" s="10" t="inlineStr">
        <is>
          <t>Arabic interface</t>
        </is>
      </c>
      <c r="D36" s="10" t="inlineStr">
        <is>
          <t>Switch to AR and repeat a few test cases (HR Portal, Employee Portal, application form).</t>
        </is>
      </c>
      <c r="E36" s="7" t="inlineStr">
        <is>
          <t>Testing team</t>
        </is>
      </c>
      <c r="F36" s="7" t="inlineStr">
        <is>
          <t>UAT</t>
        </is>
      </c>
      <c r="G36" s="7" t="inlineStr">
        <is>
          <t>—</t>
        </is>
      </c>
      <c r="H36" s="11" t="inlineStr">
        <is>
          <t>Open</t>
        </is>
      </c>
      <c r="I36" s="11" t="inlineStr"/>
      <c r="J36" s="7" t="inlineStr">
        <is>
          <t>21 Oct 2026</t>
        </is>
      </c>
      <c r="K36" s="7" t="inlineStr">
        <is>
          <t>21 Oct 2026</t>
        </is>
      </c>
      <c r="L36" s="12" t="inlineStr"/>
    </row>
    <row r="37">
      <c r="A37" s="8" t="inlineStr">
        <is>
          <t>CL-27</t>
        </is>
      </c>
      <c r="B37" s="7" t="inlineStr">
        <is>
          <t>5. Reviews and testing</t>
        </is>
      </c>
      <c r="C37" s="10" t="inlineStr">
        <is>
          <t>Developer copy of the education app up to date</t>
        </is>
      </c>
      <c r="D37" s="10" t="inlineStr">
        <is>
          <t>On the development machine the education app checkout is behind its master branch; update it before testing there (git pull --ff-only).</t>
        </is>
      </c>
      <c r="E37" s="7" t="inlineStr">
        <is>
          <t>Project owner</t>
        </is>
      </c>
      <c r="F37" s="7" t="inlineStr">
        <is>
          <t>Now</t>
        </is>
      </c>
      <c r="G37" s="7" t="inlineStr">
        <is>
          <t>—</t>
        </is>
      </c>
      <c r="H37" s="11" t="inlineStr">
        <is>
          <t>Open</t>
        </is>
      </c>
      <c r="I37" s="11" t="inlineStr"/>
      <c r="J37" s="7" t="inlineStr">
        <is>
          <t>21 Oct 2026</t>
        </is>
      </c>
      <c r="K37" s="7" t="inlineStr">
        <is>
          <t>23 Oct 2026</t>
        </is>
      </c>
      <c r="L37" s="12" t="inlineStr"/>
    </row>
    <row r="38">
      <c r="A38" s="8" t="inlineStr">
        <is>
          <t>CL-34</t>
        </is>
      </c>
      <c r="B38" s="7" t="inlineStr">
        <is>
          <t>6. Team and repository</t>
        </is>
      </c>
      <c r="C38" s="10" t="inlineStr">
        <is>
          <t>Delete the merged branches on GitHub</t>
        </is>
      </c>
      <c r="D38" s="10" t="inlineStr">
        <is>
          <t>After UAT: feature/uat-2026-10-22, feature/hr-portal-design, feature/jameah-ministry-views, fix/hrm-e2e-approval-permission-bugs, ministry-lookup, employee-applicant (all merged into develop; their history stays in develop).</t>
        </is>
      </c>
      <c r="E38" s="7" t="inlineStr">
        <is>
          <t>Project owner</t>
        </is>
      </c>
      <c r="F38" s="7" t="inlineStr">
        <is>
          <t>After UAT</t>
        </is>
      </c>
      <c r="G38" s="7" t="inlineStr">
        <is>
          <t>HR-71</t>
        </is>
      </c>
      <c r="H38" s="11" t="inlineStr">
        <is>
          <t>Open</t>
        </is>
      </c>
      <c r="I38" s="11" t="inlineStr"/>
      <c r="J38" s="7" t="inlineStr">
        <is>
          <t>23 Oct 2026</t>
        </is>
      </c>
      <c r="K38" s="7" t="inlineStr">
        <is>
          <t>23 Oct 2026</t>
        </is>
      </c>
      <c r="L38" s="12" t="inlineStr"/>
    </row>
    <row r="39">
      <c r="A39" s="8" t="inlineStr">
        <is>
          <t>CL-35</t>
        </is>
      </c>
      <c r="B39" s="7" t="inlineStr">
        <is>
          <t>6. Team and repository</t>
        </is>
      </c>
      <c r="C39" s="10" t="inlineStr">
        <is>
          <t>Assign the open tasks</t>
        </is>
      </c>
      <c r="D39" s="10" t="inlineStr">
        <is>
          <t>Task Tracker, Tasks sheet: pick who each open task is given to in the Assigned to column (dropdown; e.g. HR-73, HR-16, HR-17, HR-25, JM-15, JM-19).</t>
        </is>
      </c>
      <c r="E39" s="7" t="inlineStr">
        <is>
          <t>Project owner</t>
        </is>
      </c>
      <c r="F39" s="7" t="inlineStr">
        <is>
          <t>Now</t>
        </is>
      </c>
      <c r="G39" s="7" t="inlineStr">
        <is>
          <t>HR-73</t>
        </is>
      </c>
      <c r="H39" s="11" t="inlineStr">
        <is>
          <t>Open</t>
        </is>
      </c>
      <c r="I39" s="11" t="inlineStr"/>
      <c r="J39" s="7" t="inlineStr">
        <is>
          <t>23 Oct 2026</t>
        </is>
      </c>
      <c r="K39" s="7" t="inlineStr">
        <is>
          <t>23 Oct 2026</t>
        </is>
      </c>
      <c r="L39" s="12" t="inlineStr"/>
    </row>
    <row r="40">
      <c r="A40" s="8" t="inlineStr">
        <is>
          <t>CL-36</t>
        </is>
      </c>
      <c r="B40" s="7" t="inlineStr">
        <is>
          <t>6. Team and repository</t>
        </is>
      </c>
      <c r="C40" s="10" t="inlineStr">
        <is>
          <t>Checks before every release</t>
        </is>
      </c>
      <c r="D40" s="10" t="inlineStr">
        <is>
          <t>python3 tests/checks/files.py; fx.py tests/checks/site.py; python3 tests/checks/api_methods.py; then the browser suite (tests/e2e/README.md). All must pass.</t>
        </is>
      </c>
      <c r="E40" s="7" t="inlineStr">
        <is>
          <t>Developer (Abdul Hakeem)</t>
        </is>
      </c>
      <c r="F40" s="7" t="inlineStr">
        <is>
          <t>Every release</t>
        </is>
      </c>
      <c r="G40" s="7" t="inlineStr">
        <is>
          <t>HR-72</t>
        </is>
      </c>
      <c r="H40" s="11" t="inlineStr">
        <is>
          <t>Open</t>
        </is>
      </c>
      <c r="I40" s="11" t="inlineStr"/>
      <c r="J40" s="7" t="inlineStr">
        <is>
          <t>23 Oct 2026</t>
        </is>
      </c>
      <c r="K40" s="7" t="inlineStr">
        <is>
          <t>23 Oct 2026</t>
        </is>
      </c>
      <c r="L40" s="12" t="inlineStr"/>
    </row>
    <row r="41">
      <c r="A41" s="8" t="inlineStr">
        <is>
          <t>CL-37</t>
        </is>
      </c>
      <c r="B41" s="7" t="inlineStr">
        <is>
          <t>5. Reviews and testing</t>
        </is>
      </c>
      <c r="C41" s="10" t="inlineStr">
        <is>
          <t>Share the guides</t>
        </is>
      </c>
      <c r="D41" s="10" t="inlineStr">
        <is>
          <t>Give HR, managers and the testing team docs/guides/Medical_HRMS_Jameah_User_Guide.pdf, and the server admin docs/guides/Medical_HRMS_Jameah_Installation_Guide.pdf; collect their questions. 27 Oct: given to the testing team; still to give to HR, managers and the server admin.</t>
        </is>
      </c>
      <c r="E41" s="7" t="inlineStr">
        <is>
          <t>Project owner</t>
        </is>
      </c>
      <c r="F41" s="7" t="inlineStr">
        <is>
          <t>UAT</t>
        </is>
      </c>
      <c r="G41" s="7" t="inlineStr">
        <is>
          <t>HR-74, HR-75</t>
        </is>
      </c>
      <c r="H41" s="11" t="inlineStr">
        <is>
          <t>In progress</t>
        </is>
      </c>
      <c r="I41" s="11" t="inlineStr"/>
      <c r="J41" s="7" t="inlineStr">
        <is>
          <t>23 Oct 2026</t>
        </is>
      </c>
      <c r="K41" s="7" t="inlineStr">
        <is>
          <t>27 Oct 2026</t>
        </is>
      </c>
      <c r="L41" s="12" t="inlineStr"/>
    </row>
    <row r="42">
      <c r="A42" s="8" t="inlineStr">
        <is>
          <t>CL-39</t>
        </is>
      </c>
      <c r="B42" s="7" t="inlineStr">
        <is>
          <t>5. Reviews and testing</t>
        </is>
      </c>
      <c r="C42" s="10" t="inlineStr">
        <is>
          <t>Round 2 document to the testing team</t>
        </is>
      </c>
      <c r="D42" s="10" t="inlineStr">
        <is>
          <t>Put Round 2 on their test server first (CL-01, migrate), then give them docs/guides/Medical_HRMS_Round_2_Whats_New.pdf and the Test Cases workbook (filter Round = Round 2).</t>
        </is>
      </c>
      <c r="E42" s="7" t="inlineStr">
        <is>
          <t>Project owner</t>
        </is>
      </c>
      <c r="F42" s="7" t="inlineStr">
        <is>
          <t>Now</t>
        </is>
      </c>
      <c r="G42" s="7" t="inlineStr">
        <is>
          <t>HR-76</t>
        </is>
      </c>
      <c r="H42" s="11" t="inlineStr">
        <is>
          <t>Open</t>
        </is>
      </c>
      <c r="I42" s="11" t="inlineStr"/>
      <c r="J42" s="7" t="inlineStr">
        <is>
          <t>27 Oct 2026</t>
        </is>
      </c>
      <c r="K42" s="7" t="inlineStr">
        <is>
          <t>27 Oct 2026</t>
        </is>
      </c>
      <c r="L42" s="12" t="inlineStr"/>
    </row>
  </sheetData>
  <autoFilter ref="A1:L42"/>
  <conditionalFormatting sqref="H2:H142">
    <cfRule type="expression" priority="1" dxfId="0" stopIfTrue="1">
      <formula>$H2="Open"</formula>
    </cfRule>
    <cfRule type="expression" priority="2" dxfId="1" stopIfTrue="1">
      <formula>$H2="In progress"</formula>
    </cfRule>
    <cfRule type="expression" priority="3" dxfId="2" stopIfTrue="1">
      <formula>$H2="Done"</formula>
    </cfRule>
    <cfRule type="expression" priority="4" dxfId="3" stopIfTrue="1">
      <formula>$H2="Blocked"</formula>
    </cfRule>
    <cfRule type="expression" priority="5" dxfId="4" stopIfTrue="1">
      <formula>$H2="Not needed"</formula>
    </cfRule>
  </conditionalFormatting>
  <dataValidations count="1">
    <dataValidation sqref="H2:H142" showDropDown="0" showInputMessage="0" showErrorMessage="0" allowBlank="0" type="list">
      <formula1>"Open,In progress,Done,Blocked,Not needed"</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18"/>
  <sheetViews>
    <sheetView workbookViewId="0">
      <pane ySplit="1" topLeftCell="A2" activePane="bottomLeft" state="frozen"/>
      <selection pane="bottomLeft"/>
      <selection pane="bottomLeft"/>
      <selection pane="bottomRight" activeCell="A1" sqref="A1"/>
    </sheetView>
  </sheetViews>
  <sheetFormatPr baseColWidth="8" defaultRowHeight="15"/>
  <cols>
    <col width="13" customWidth="1" min="1" max="1"/>
    <col width="20" customWidth="1" min="2" max="2"/>
    <col width="34" customWidth="1" min="3" max="3"/>
    <col width="100" customWidth="1" min="4" max="4"/>
    <col width="16" customWidth="1" min="5" max="5"/>
  </cols>
  <sheetData>
    <row r="1" ht="30" customHeight="1">
      <c r="A1" s="9" t="inlineStr">
        <is>
          <t>Date</t>
        </is>
      </c>
      <c r="B1" s="9" t="inlineStr">
        <is>
          <t>Area</t>
        </is>
      </c>
      <c r="C1" s="9" t="inlineStr">
        <is>
          <t>Items</t>
        </is>
      </c>
      <c r="D1" s="9" t="inlineStr">
        <is>
          <t>What changed</t>
        </is>
      </c>
      <c r="E1" s="9" t="inlineStr">
        <is>
          <t>By</t>
        </is>
      </c>
    </row>
    <row r="2">
      <c r="A2" s="7" t="inlineStr">
        <is>
          <t>27 Oct 2026</t>
        </is>
      </c>
      <c r="B2" s="7" t="inlineStr">
        <is>
          <t>Testing</t>
        </is>
      </c>
      <c r="C2" s="10" t="inlineStr">
        <is>
          <t>HR-76</t>
        </is>
      </c>
      <c r="D2" s="10" t="inlineStr">
        <is>
          <t>QA cleanup stops the unsent e-mails of removed QA records (status Error) instead of deleting them: the e-mail job could be sending them at that moment and logged 'Email Queue ... not found'.</t>
        </is>
      </c>
      <c r="E2" s="7" t="inlineStr">
        <is>
          <t>Abdul Hakeem</t>
        </is>
      </c>
    </row>
    <row r="3">
      <c r="A3" s="7" t="inlineStr">
        <is>
          <t>27 Oct 2026</t>
        </is>
      </c>
      <c r="B3" s="7" t="inlineStr">
        <is>
          <t>Round 2</t>
        </is>
      </c>
      <c r="C3" s="10" t="inlineStr">
        <is>
          <t>HR-16, HR-24, HR-25, HR-48, HR-76, HR-77, B-26, B-56, B-57, DEC-16, CL-39 - CL-41, TC-APR-02, TC-APR-09 - TC-APR-13, TC-ESS-17 - TC-ESS-23, TC-EMP-13, TC-EMP-14, TC-LV-18</t>
        </is>
      </c>
      <c r="D3" s="10" t="inlineStr">
        <is>
          <t>Round 2: employees change, send or delete their drafts and send a rejected request again; rejecting needs a reason, which the employee reads with the request's history; notifications in the bell (and e-mail where the mail account works) for HR on new requests and for the employee at every later step; the Instructor and Academic Advisor forms save after an Employee is picked (B-26, B-56); amounts say SAR; the bell shows the time as text (B-57). New: Round column in the Test Cases workbook, the Round 2 document for the testers, User Guide and Installation Guide updated. Re-tested: 101/101 browser checks, 52 unit tests (0 failures), 0 file and 0 site problems, 31 server methods x 3 roles; Error Log: only the known e-mail password error B-25 (notification e-mails this copy cannot send).</t>
        </is>
      </c>
      <c r="E3" s="7" t="inlineStr">
        <is>
          <t>Abdul Hakeem</t>
        </is>
      </c>
    </row>
    <row r="4">
      <c r="A4" s="7" t="inlineStr">
        <is>
          <t>27 Oct 2026</t>
        </is>
      </c>
      <c r="B4" s="7" t="inlineStr">
        <is>
          <t>Testing</t>
        </is>
      </c>
      <c r="C4" s="10" t="inlineStr">
        <is>
          <t>HR-75, CL-23, CL-37</t>
        </is>
      </c>
      <c r="D4" s="10" t="inlineStr">
        <is>
          <t>Test Cases workbook and both PDF guides given to the testing team; their UAT round has started (HR-75 In progress). Checklist: new status 'In progress' (blue); CL-23 Run the test cases and CL-37 Share the guides are In progress (the guides still go to HR, managers and the server admin). Testing team added to the Assigned to list.</t>
        </is>
      </c>
      <c r="E4" s="7" t="inlineStr">
        <is>
          <t>Abdul Hakeem</t>
        </is>
      </c>
    </row>
    <row r="5">
      <c r="A5" s="7" t="inlineStr">
        <is>
          <t>23 Oct 2026</t>
        </is>
      </c>
      <c r="B5" s="7" t="inlineStr">
        <is>
          <t>Documentation</t>
        </is>
      </c>
      <c r="C5" s="10" t="inlineStr">
        <is>
          <t>HR-37, HR-38, DEC-15, CL-38</t>
        </is>
      </c>
      <c r="D5" s="10" t="inlineStr">
        <is>
          <t>Academic Presence (HR requirements 1-4) checked against the client's request: all four are on the HR Dashboard and tested. The guides now say where each tab's data comes from, that Proctor Schedules stays empty until exam committees are entered (new Checklist CL-38), that Students on Campus counts by hour, and that after-4 PM times come from the timetable and class attendance until devices are connected. New decision DEC-15: hour slots or the college's own periods.</t>
        </is>
      </c>
      <c r="E5" s="7" t="inlineStr">
        <is>
          <t>Abdul Hakeem</t>
        </is>
      </c>
    </row>
    <row r="6">
      <c r="A6" s="7" t="inlineStr">
        <is>
          <t>23 Oct 2026</t>
        </is>
      </c>
      <c r="B6" s="7" t="inlineStr">
        <is>
          <t>Documentation</t>
        </is>
      </c>
      <c r="C6" s="10" t="inlineStr">
        <is>
          <t>HR-74, B-54, B-55, TC-ESS-02, TC-ESS-04, TC-ESS-16, CL-37</t>
        </is>
      </c>
      <c r="D6" s="10" t="inlineStr">
        <is>
          <t>Installation and Setup Guide (21 pages) and User Guide (30 pages) in PDF, with screenshots from the test site (QA data only); sources in docs/guides/src. Fixed while writing them: Remote Work Request duration and Permission Request hours were always 0 (now counted; reversed times refused; a patch fills in saved requests). Re-tested: 95/95 browser checks, 42 unit tests (0 failures), 0 file and 0 site problems, 29 server methods x 3 roles, no Error Log entries.</t>
        </is>
      </c>
      <c r="E6" s="7" t="inlineStr">
        <is>
          <t>Abdul Hakeem</t>
        </is>
      </c>
    </row>
    <row r="7">
      <c r="A7" s="7" t="inlineStr">
        <is>
          <t>23 Oct 2026</t>
        </is>
      </c>
      <c r="B7" s="7" t="inlineStr">
        <is>
          <t>Project tracking</t>
        </is>
      </c>
      <c r="C7" s="10" t="inlineStr">
        <is>
          <t>All tasks; HR-04 - HR-06, HR-11, HR-12, HR-28 - HR-30, HR-48, HR-66, HR-70, HR-71, HR-73, JM-03, JM-06, JM-12, JM-13, JM-16, JM-17, B-26, B-34, CL-35</t>
        </is>
      </c>
      <c r="D7" s="10" t="inlineStr">
        <is>
          <t>Owners corrected: Abdul Hakeem designed and built Medical HRMS and Jameah and leads every development task. New column 'Assigned to' (with a dropdown) shows who a task was given to: Dinesh (HR-06, and HR-04 at first), Fathir (HR-04, HR-05, HR-70), otherwise Abdul Hakeem; client-side tasks stay with HR, Academic Affairs, the Registrar or the server admin. Wording that credited others for this work removed. Status and Priority shown in clear colours in all three workbooks (Status, Priority, Result and Severity cells only), with a priority legend in the Read Me.</t>
        </is>
      </c>
      <c r="E7" s="7" t="inlineStr">
        <is>
          <t>Abdul Hakeem</t>
        </is>
      </c>
    </row>
    <row r="8">
      <c r="A8" s="7" t="inlineStr">
        <is>
          <t>23 Oct 2026</t>
        </is>
      </c>
      <c r="B8" s="7" t="inlineStr">
        <is>
          <t>Project tracking</t>
        </is>
      </c>
      <c r="C8" s="10" t="inlineStr">
        <is>
          <t>HR-72, B-52, B-53</t>
        </is>
      </c>
      <c r="D8" s="10" t="inlineStr">
        <is>
          <t>The three check scripts (files, site, server methods) now record their result in the Test Cases workbook (Last automated run: Pass, 23 Oct). The file check found a missing import in the site check; fixed.</t>
        </is>
      </c>
      <c r="E8" s="7" t="inlineStr">
        <is>
          <t>Abdul Hakeem</t>
        </is>
      </c>
    </row>
    <row r="9">
      <c r="A9" s="7" t="inlineStr">
        <is>
          <t>23 Oct 2026</t>
        </is>
      </c>
      <c r="B9" s="7" t="inlineStr">
        <is>
          <t>Medical HRMS</t>
        </is>
      </c>
      <c r="C9" s="10" t="inlineStr">
        <is>
          <t>HR-58, HR-69, HR-71 - HR-73, B-45 - B-51, CL-01, CL-30, CL-34 - CL-36, TC-ERR-06 - TC-ERR-09, TC-SEC-10</t>
        </is>
      </c>
      <c r="D9" s="10" t="inlineStr">
        <is>
          <t>Every branch merged into develop (ministry-lookup last; employee-applicant recorded as merged without its July files, as decided); develop is now the branch to test and deploy. Full check of every file and page (files, site, server methods by role, unit tests, browser suite with a sweep of every Medical HRMS doctype); checks kept in tests/checks. Fixed: stray files, outdated README and developer guide, QA setup race, refresh-lock test, Ministry code search. HR-69 corrected (employee counts were test hires). Result: 95/95 browser checks (error sweep: 116 pages for HR, 20 for employees), 37/37 unit tests, 23/23 Ministry views, 29 server methods x 3 roles, 0 file and 0 site problems, no Error Log entries.</t>
        </is>
      </c>
      <c r="E9" s="7" t="inlineStr">
        <is>
          <t>Abdul Hakeem</t>
        </is>
      </c>
    </row>
    <row r="10">
      <c r="A10" s="7" t="inlineStr">
        <is>
          <t>22 Oct 2026</t>
        </is>
      </c>
      <c r="B10" s="7" t="inlineStr">
        <is>
          <t>Medical HRMS</t>
        </is>
      </c>
      <c r="C10" s="10" t="inlineStr">
        <is>
          <t>HR-58, HR-70, JM-05, JM-19, B-42 – B-44, TC-REC-13, TC-REC-14</t>
        </is>
      </c>
      <c r="D10" s="10" t="inlineStr">
        <is>
          <t>develop (Fathir's job application update, PR #2) merged into feature/uat-2026-10-22; conflicts in job_application.py, job-application.html and ar.csv resolved keeping both sides; the Appreciation list restored and the work extension accepted again on the updated form (B-42, B-44); a migrate no longer fails when it overlaps the hourly Jameah refresh (B-43); test output removed from the repository. Re-tested: 95/95 browser checks, 37/37 unit tests, 23/23 Ministry views OK, no Error Log entries. Branch to test and deploy: feature/uat-2026-10-22.</t>
        </is>
      </c>
      <c r="E10" s="7" t="inlineStr">
        <is>
          <t>Abdul Hakeem</t>
        </is>
      </c>
    </row>
    <row r="11">
      <c r="A11" s="7" t="inlineStr">
        <is>
          <t>22 Oct 2026</t>
        </is>
      </c>
      <c r="B11" s="7" t="inlineStr">
        <is>
          <t>Medical HRMS</t>
        </is>
      </c>
      <c r="C11" s="10" t="inlineStr">
        <is>
          <t>HR-08, HR-09, HR-19, HR-20, HR-22, HR-68, HR-69, B-36 – B-40, DEC-14, CL-28 – CL-33</t>
        </is>
      </c>
      <c r="D11" s="10" t="inlineStr">
        <is>
          <t>Leave made one flow: Leave Plan (employees send it; manager and department head approve) -&gt; Leave Application (only leave the employee holds, with the days left; Apply now from an approved plan) -&gt; Leave Return (asked for when a leave ends; certificate and occupational health only after sick leave). Sick-leave types renamed in pay order (Sick Leave 1 / 2 / 3) by a migration patch. HR Portal Leave section: setup check per company, daily leave counts, yearly setup in order. Arabic for 114 new texts. 5 unit tests and 7 browser tests (LV-01 - LV-07); test cases TC-LV-09 - 17, TC-HRD-06/07. Real company Al Riyada College still needs its leave setup (HR-69). Branch to test and deploy: feature/uat-2026-10-22 (all work to date).</t>
        </is>
      </c>
      <c r="E11" s="7" t="inlineStr">
        <is>
          <t>Abdul Hakeem</t>
        </is>
      </c>
    </row>
    <row r="12">
      <c r="A12" s="7" t="inlineStr">
        <is>
          <t>22 Oct 2026</t>
        </is>
      </c>
      <c r="B12" s="7" t="inlineStr">
        <is>
          <t>Testing</t>
        </is>
      </c>
      <c r="C12" s="10" t="inlineStr">
        <is>
          <t>HR-67, B-41</t>
        </is>
      </c>
      <c r="D12" s="10" t="inlineStr">
        <is>
          <t>Browser test suite, QA data scripts and the results helper kept in the repository (tests/e2e); the QA scripts only run on a site named in QA_TEST_SITE. The QA reset no longer leaves the QA HR User without access to its own My Settings (test data only). The leave unit test now attaches a real test file, so it no longer writes 'Error Attaching File' to the Error Log. Full run 22 Oct: 95/95 browser checks, 36/36 unit tests, 23/23 Ministry views OK, no new Error Log entries.</t>
        </is>
      </c>
      <c r="E12" s="7" t="inlineStr">
        <is>
          <t>Abdul Hakeem</t>
        </is>
      </c>
    </row>
    <row r="13">
      <c r="A13" s="7" t="inlineStr">
        <is>
          <t>21 Oct 2026</t>
        </is>
      </c>
      <c r="B13" s="7" t="inlineStr">
        <is>
          <t>Medical HRMS + Jameah</t>
        </is>
      </c>
      <c r="C13" s="10" t="inlineStr">
        <is>
          <t>HR-49, HR-50, HR-51, HR-65, JM-14, B-35, DEC-12, DEC-13</t>
        </is>
      </c>
      <c r="D13" s="10" t="inlineStr">
        <is>
          <t>Report 'Employees Missing Ministry Data'; data sheet for non-academic staff (download, check, import); unused duplicate applicant Ministry fields removed; Create Employee dialog asks for every field the Employee form requires; Jameah Faculty views (8) built and verified (23 views in all). Arabic for the 46 new labels. Documents moved to the project_tracking folder; Checklist workbook added; dates on every row; HRM_TASK_TRACKER.md marked as superseded.</t>
        </is>
      </c>
      <c r="E13" s="7" t="inlineStr">
        <is>
          <t>Abdul Hakeem</t>
        </is>
      </c>
    </row>
    <row r="14">
      <c r="A14" s="7" t="inlineStr">
        <is>
          <t>21 Oct 2026</t>
        </is>
      </c>
      <c r="B14" s="7" t="inlineStr">
        <is>
          <t>Medical HRMS</t>
        </is>
      </c>
      <c r="C14" s="10" t="inlineStr">
        <is>
          <t>HR-66</t>
        </is>
      </c>
      <c r="D14" s="10" t="inlineStr">
        <is>
          <t>HR Portal and Employee Portal in the new college portal design (menu, top bar, EN/AR, dark mode); Arabic translations for these pages.</t>
        </is>
      </c>
      <c r="E14" s="7" t="inlineStr">
        <is>
          <t>Abdul Hakeem</t>
        </is>
      </c>
    </row>
    <row r="15">
      <c r="A15" s="7" t="inlineStr">
        <is>
          <t>21 Oct 2026</t>
        </is>
      </c>
      <c r="B15" s="7" t="inlineStr">
        <is>
          <t>Medical HRMS + Jameah</t>
        </is>
      </c>
      <c r="C15" s="10" t="inlineStr">
        <is>
          <t>HR-12, HR-31, HR-32, HR-45, HR-46, HR-59 – HR-64, JM-17, JM-18, B-24 – B-34</t>
        </is>
      </c>
      <c r="D15" s="10" t="inlineStr">
        <is>
          <t>End-to-end test round 3 with an error sweep of every page: fixes for the errors the client reported (non-Saudi employees, breadcrumb 'Not permitted', Cost Center pop-up, academic hire e-mail, Holiday List); HR login lands on the HR Dashboard; Ministry GPA and credit hours from the college's official calculation. Test Report, Test Cases and Task Tracker created.</t>
        </is>
      </c>
      <c r="E15" s="7" t="inlineStr">
        <is>
          <t>Abdul Hakeem</t>
        </is>
      </c>
    </row>
    <row r="16">
      <c r="A16" s="7" t="inlineStr">
        <is>
          <t>20 Oct 2026</t>
        </is>
      </c>
      <c r="B16" s="7" t="inlineStr">
        <is>
          <t>Medical HRMS + Jameah</t>
        </is>
      </c>
      <c r="C16" s="10" t="inlineStr">
        <is>
          <t>HR-07 – HR-09, HR-13 – HR-15, HR-19, HR-22, HR-26, HR-36 – HR-44, JM-02 – JM-07, B-12 – B-23</t>
        </is>
      </c>
      <c r="D16" s="10" t="inlineStr">
        <is>
          <t>Jameah Employee (5) and Student (10) views built and verified value by value; Academic Presence; browser test round 2 fixes.</t>
        </is>
      </c>
      <c r="E16" s="7" t="inlineStr">
        <is>
          <t>Abdul Hakeem</t>
        </is>
      </c>
    </row>
    <row r="17">
      <c r="A17" s="7" t="inlineStr">
        <is>
          <t>19 Oct 2026</t>
        </is>
      </c>
      <c r="B17" s="7" t="inlineStr">
        <is>
          <t>Medical HRMS + Jameah</t>
        </is>
      </c>
      <c r="C17" s="10" t="inlineStr">
        <is>
          <t>HR-02, HR-05, HR-06, HR-24, HR-27, HR-33 – HR-35, JM-01, B-01 – B-11</t>
        </is>
      </c>
      <c r="D17" s="10" t="inlineStr">
        <is>
          <t>Browser end-to-end test round 1 and fixes (approvals, recruitment security, Ministry identity rules); Instructor data sheet; Jameah research.</t>
        </is>
      </c>
      <c r="E17" s="7" t="inlineStr">
        <is>
          <t>Abdul Hakeem</t>
        </is>
      </c>
    </row>
    <row r="18">
      <c r="A18" s="7" t="inlineStr">
        <is>
          <t>1 Oct 2026</t>
        </is>
      </c>
      <c r="B18" s="7" t="inlineStr">
        <is>
          <t>Medical HRMS</t>
        </is>
      </c>
      <c r="C18" s="10" t="inlineStr">
        <is>
          <t>HR-01 – HR-32</t>
        </is>
      </c>
      <c r="D18" s="10" t="inlineStr">
        <is>
          <t>First HRM task tracker (HRM_TASK_TRACKER.md / .csv).</t>
        </is>
      </c>
      <c r="E18" s="7" t="inlineStr">
        <is>
          <t>Team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2026-10-27T06:37:17Z</dcterms:created>
  <dcterms:modified xsi:type="dcterms:W3CDTF">2026-10-27T06:37:17Z</dcterms:modified>
</cp:coreProperties>
</file>