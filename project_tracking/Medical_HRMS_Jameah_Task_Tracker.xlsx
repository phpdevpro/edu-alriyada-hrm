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'Tasks'!$A$1:$L$95</definedName>
    <definedName name="_xlnm._FilterDatabase" localSheetId="3" hidden="1">'Bugs'!$A$1:$J$56</definedName>
    <definedName name="_xlnm._FilterDatabase" localSheetId="4" hidden="1">'Decisions'!$A$1:$H$16</definedName>
    <definedName name="_xlnm._FilterDatabase" localSheetId="5" hidden="1">'Change Log'!$A$1:$E$16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27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27 Oct 2026.</t>
        </is>
      </c>
    </row>
    <row r="4">
      <c r="A4" s="21" t="inlineStr">
        <is>
          <t>Tasks by status</t>
        </is>
      </c>
      <c r="B4" s="21" t="inlineStr">
        <is>
          <t>Tasks</t>
        </is>
      </c>
    </row>
    <row r="5">
      <c r="A5" s="22" t="inlineStr">
        <is>
          <t>Done</t>
        </is>
      </c>
      <c r="B5" s="23">
        <f>COUNTIF(Tasks!$E$2:$E$295,A5)</f>
        <v/>
      </c>
    </row>
    <row r="6">
      <c r="A6" s="24" t="inlineStr">
        <is>
          <t>Done – client UAT pending</t>
        </is>
      </c>
      <c r="B6" s="23">
        <f>COUNTIF(Tasks!$E$2:$E$295,A6)</f>
        <v/>
      </c>
    </row>
    <row r="7">
      <c r="A7" s="25" t="inlineStr">
        <is>
          <t>In progress</t>
        </is>
      </c>
      <c r="B7" s="23">
        <f>COUNTIF(Tasks!$E$2:$E$295,A7)</f>
        <v/>
      </c>
    </row>
    <row r="8">
      <c r="A8" s="26" t="inlineStr">
        <is>
          <t>Pending – decision needed</t>
        </is>
      </c>
      <c r="B8" s="23">
        <f>COUNTIF(Tasks!$E$2:$E$295,A8)</f>
        <v/>
      </c>
    </row>
    <row r="9">
      <c r="A9" s="27" t="inlineStr">
        <is>
          <t>Pending – data / setup</t>
        </is>
      </c>
      <c r="B9" s="23">
        <f>COUNTIF(Tasks!$E$2:$E$295,A9)</f>
        <v/>
      </c>
    </row>
    <row r="10">
      <c r="A10" s="28" t="inlineStr">
        <is>
          <t>Pending – development</t>
        </is>
      </c>
      <c r="B10" s="23">
        <f>COUNTIF(Tasks!$E$2:$E$295,A10)</f>
        <v/>
      </c>
    </row>
    <row r="11">
      <c r="A11" s="29" t="inlineStr">
        <is>
          <t>Pending – other team</t>
        </is>
      </c>
      <c r="B11" s="23">
        <f>COUNTIF(Tasks!$E$2:$E$295,A11)</f>
        <v/>
      </c>
    </row>
    <row r="12">
      <c r="A12" s="30" t="inlineStr">
        <is>
          <t>Planned</t>
        </is>
      </c>
      <c r="B12" s="23">
        <f>COUNTIF(Tasks!$E$2:$E$295,A12)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COUNTIFS(Tasks!$A$2:$A$295,"HR-*",Tasks!$E$2:$E$295,"Done")+COUNTIFS(Tasks!$A$2:$A$295,"HR-*",Tasks!$E$2:$E$295,"Done – client UAT pending")</f>
        <v/>
      </c>
      <c r="C16" s="23">
        <f>D16-B16</f>
        <v/>
      </c>
      <c r="D16" s="23">
        <f>COUNTIF(Tasks!$A$2:$A$295,"HR-*")</f>
        <v/>
      </c>
    </row>
    <row r="17">
      <c r="A17" s="23" t="inlineStr">
        <is>
          <t>Jameah (JM-…)</t>
        </is>
      </c>
      <c r="B17" s="23">
        <f>COUNTIFS(Tasks!$A$2:$A$295,"JM-*",Tasks!$E$2:$E$295,"Done")+COUNTIFS(Tasks!$A$2:$A$295,"JM-*",Tasks!$E$2:$E$295,"Done – client UAT pending")</f>
        <v/>
      </c>
      <c r="C17" s="23">
        <f>D17-B17</f>
        <v/>
      </c>
      <c r="D17" s="23">
        <f>COUNTIF(Tasks!$A$2:$A$295,"JM-*")</f>
        <v/>
      </c>
    </row>
    <row r="18"/>
    <row r="19">
      <c r="A19" s="21" t="inlineStr">
        <is>
          <t>Work done by date</t>
        </is>
      </c>
      <c r="B19" s="21" t="inlineStr">
        <is>
          <t>Tasks</t>
        </is>
      </c>
    </row>
    <row r="20">
      <c r="A20" s="23" t="inlineStr">
        <is>
          <t>Earlier (May – 5 Oct 2026)</t>
        </is>
      </c>
      <c r="B20" s="23">
        <f>COUNTIF(Tasks!$D$2:$D$295,"Earlier (May – 5 Oct 2026)")</f>
        <v/>
      </c>
    </row>
    <row r="21">
      <c r="A21" s="23" t="inlineStr">
        <is>
          <t>19 Oct 2026</t>
        </is>
      </c>
      <c r="B21" s="23">
        <f>COUNTIF(Tasks!$D$2:$D$295,"19 Oct 2026")</f>
        <v/>
      </c>
    </row>
    <row r="22">
      <c r="A22" s="23" t="inlineStr">
        <is>
          <t>20 Oct 2026</t>
        </is>
      </c>
      <c r="B22" s="23">
        <f>COUNTIF(Tasks!$D$2:$D$295,"20 Oct 2026")</f>
        <v/>
      </c>
    </row>
    <row r="23">
      <c r="A23" s="23" t="inlineStr">
        <is>
          <t>21 Oct 2026</t>
        </is>
      </c>
      <c r="B23" s="23">
        <f>COUNTIF(Tasks!$D$2:$D$295,"21 Oct 2026")</f>
        <v/>
      </c>
    </row>
    <row r="24">
      <c r="A24" s="23" t="inlineStr">
        <is>
          <t>22 Oct 2026</t>
        </is>
      </c>
      <c r="B24" s="23">
        <f>COUNTIF(Tasks!$D$2:$D$295,"22 Oct 2026")</f>
        <v/>
      </c>
    </row>
    <row r="25">
      <c r="A25" s="23" t="inlineStr">
        <is>
          <t>23 Oct 2026</t>
        </is>
      </c>
      <c r="B25" s="23">
        <f>COUNTIF(Tasks!$D$2:$D$295,"23 Oct 2026")</f>
        <v/>
      </c>
    </row>
    <row r="26">
      <c r="A26" s="23" t="inlineStr">
        <is>
          <t>27 Oct 2026</t>
        </is>
      </c>
      <c r="B26" s="23">
        <f>COUNTIF(Tasks!$D$2:$D$295,"27 Oct 2026")</f>
        <v/>
      </c>
    </row>
    <row r="27">
      <c r="A27" s="23" t="inlineStr">
        <is>
          <t>— (not done yet)</t>
        </is>
      </c>
      <c r="B27" s="23">
        <f>COUNTIF(Tasks!$D$2:$D$295,"—")</f>
        <v/>
      </c>
    </row>
    <row r="28"/>
    <row r="29" ht="45" customHeight="1">
      <c r="A29" s="21" t="inlineStr">
        <is>
          <t>Workstream</t>
        </is>
      </c>
      <c r="B29" s="21" t="inlineStr">
        <is>
          <t>Done</t>
        </is>
      </c>
      <c r="C29" s="21" t="inlineStr">
        <is>
          <t>Done – client UAT pending</t>
        </is>
      </c>
      <c r="D29" s="21" t="inlineStr">
        <is>
          <t>In progress</t>
        </is>
      </c>
      <c r="E29" s="21" t="inlineStr">
        <is>
          <t>Pending – decision needed</t>
        </is>
      </c>
      <c r="F29" s="21" t="inlineStr">
        <is>
          <t>Pending – data / setup</t>
        </is>
      </c>
      <c r="G29" s="21" t="inlineStr">
        <is>
          <t>Pending – development</t>
        </is>
      </c>
      <c r="H29" s="21" t="inlineStr">
        <is>
          <t>Pending – other team</t>
        </is>
      </c>
      <c r="I29" s="21" t="inlineStr">
        <is>
          <t>Planned</t>
        </is>
      </c>
      <c r="J29" s="21" t="inlineStr">
        <is>
          <t>Total</t>
        </is>
      </c>
    </row>
    <row r="30">
      <c r="A30" s="23" t="inlineStr">
        <is>
          <t>Foundation</t>
        </is>
      </c>
      <c r="B30" s="23">
        <f>COUNTIFS(Tasks!$B$2:$B$295,$A30,Tasks!$E$2:$E$295,B$29)</f>
        <v/>
      </c>
      <c r="C30" s="23">
        <f>COUNTIFS(Tasks!$B$2:$B$295,$A30,Tasks!$E$2:$E$295,C$29)</f>
        <v/>
      </c>
      <c r="D30" s="23">
        <f>COUNTIFS(Tasks!$B$2:$B$295,$A30,Tasks!$E$2:$E$295,D$29)</f>
        <v/>
      </c>
      <c r="E30" s="23">
        <f>COUNTIFS(Tasks!$B$2:$B$295,$A30,Tasks!$E$2:$E$295,E$29)</f>
        <v/>
      </c>
      <c r="F30" s="23">
        <f>COUNTIFS(Tasks!$B$2:$B$295,$A30,Tasks!$E$2:$E$295,F$29)</f>
        <v/>
      </c>
      <c r="G30" s="23">
        <f>COUNTIFS(Tasks!$B$2:$B$295,$A30,Tasks!$E$2:$E$295,G$29)</f>
        <v/>
      </c>
      <c r="H30" s="23">
        <f>COUNTIFS(Tasks!$B$2:$B$295,$A30,Tasks!$E$2:$E$295,H$29)</f>
        <v/>
      </c>
      <c r="I30" s="23">
        <f>COUNTIFS(Tasks!$B$2:$B$295,$A30,Tasks!$E$2:$E$295,I$29)</f>
        <v/>
      </c>
      <c r="J30" s="23">
        <f>COUNTIF(Tasks!$B$2:$B$295,$A30)</f>
        <v/>
      </c>
    </row>
    <row r="31">
      <c r="A31" s="23" t="inlineStr">
        <is>
          <t>Master data</t>
        </is>
      </c>
      <c r="B31" s="23">
        <f>COUNTIFS(Tasks!$B$2:$B$295,$A31,Tasks!$E$2:$E$295,B$29)</f>
        <v/>
      </c>
      <c r="C31" s="23">
        <f>COUNTIFS(Tasks!$B$2:$B$295,$A31,Tasks!$E$2:$E$295,C$29)</f>
        <v/>
      </c>
      <c r="D31" s="23">
        <f>COUNTIFS(Tasks!$B$2:$B$295,$A31,Tasks!$E$2:$E$295,D$29)</f>
        <v/>
      </c>
      <c r="E31" s="23">
        <f>COUNTIFS(Tasks!$B$2:$B$295,$A31,Tasks!$E$2:$E$295,E$29)</f>
        <v/>
      </c>
      <c r="F31" s="23">
        <f>COUNTIFS(Tasks!$B$2:$B$295,$A31,Tasks!$E$2:$E$295,F$29)</f>
        <v/>
      </c>
      <c r="G31" s="23">
        <f>COUNTIFS(Tasks!$B$2:$B$295,$A31,Tasks!$E$2:$E$295,G$29)</f>
        <v/>
      </c>
      <c r="H31" s="23">
        <f>COUNTIFS(Tasks!$B$2:$B$295,$A31,Tasks!$E$2:$E$295,H$29)</f>
        <v/>
      </c>
      <c r="I31" s="23">
        <f>COUNTIFS(Tasks!$B$2:$B$295,$A31,Tasks!$E$2:$E$295,I$29)</f>
        <v/>
      </c>
      <c r="J31" s="23">
        <f>COUNTIF(Tasks!$B$2:$B$295,$A31)</f>
        <v/>
      </c>
    </row>
    <row r="32">
      <c r="A32" s="23" t="inlineStr">
        <is>
          <t>Registration</t>
        </is>
      </c>
      <c r="B32" s="23">
        <f>COUNTIFS(Tasks!$B$2:$B$295,$A32,Tasks!$E$2:$E$295,B$29)</f>
        <v/>
      </c>
      <c r="C32" s="23">
        <f>COUNTIFS(Tasks!$B$2:$B$295,$A32,Tasks!$E$2:$E$295,C$29)</f>
        <v/>
      </c>
      <c r="D32" s="23">
        <f>COUNTIFS(Tasks!$B$2:$B$295,$A32,Tasks!$E$2:$E$295,D$29)</f>
        <v/>
      </c>
      <c r="E32" s="23">
        <f>COUNTIFS(Tasks!$B$2:$B$295,$A32,Tasks!$E$2:$E$295,E$29)</f>
        <v/>
      </c>
      <c r="F32" s="23">
        <f>COUNTIFS(Tasks!$B$2:$B$295,$A32,Tasks!$E$2:$E$295,F$29)</f>
        <v/>
      </c>
      <c r="G32" s="23">
        <f>COUNTIFS(Tasks!$B$2:$B$295,$A32,Tasks!$E$2:$E$295,G$29)</f>
        <v/>
      </c>
      <c r="H32" s="23">
        <f>COUNTIFS(Tasks!$B$2:$B$295,$A32,Tasks!$E$2:$E$295,H$29)</f>
        <v/>
      </c>
      <c r="I32" s="23">
        <f>COUNTIFS(Tasks!$B$2:$B$295,$A32,Tasks!$E$2:$E$295,I$29)</f>
        <v/>
      </c>
      <c r="J32" s="23">
        <f>COUNTIF(Tasks!$B$2:$B$295,$A32)</f>
        <v/>
      </c>
    </row>
    <row r="33">
      <c r="A33" s="23" t="inlineStr">
        <is>
          <t>Recruitment</t>
        </is>
      </c>
      <c r="B33" s="23">
        <f>COUNTIFS(Tasks!$B$2:$B$295,$A33,Tasks!$E$2:$E$295,B$29)</f>
        <v/>
      </c>
      <c r="C33" s="23">
        <f>COUNTIFS(Tasks!$B$2:$B$295,$A33,Tasks!$E$2:$E$295,C$29)</f>
        <v/>
      </c>
      <c r="D33" s="23">
        <f>COUNTIFS(Tasks!$B$2:$B$295,$A33,Tasks!$E$2:$E$295,D$29)</f>
        <v/>
      </c>
      <c r="E33" s="23">
        <f>COUNTIFS(Tasks!$B$2:$B$295,$A33,Tasks!$E$2:$E$295,E$29)</f>
        <v/>
      </c>
      <c r="F33" s="23">
        <f>COUNTIFS(Tasks!$B$2:$B$295,$A33,Tasks!$E$2:$E$295,F$29)</f>
        <v/>
      </c>
      <c r="G33" s="23">
        <f>COUNTIFS(Tasks!$B$2:$B$295,$A33,Tasks!$E$2:$E$295,G$29)</f>
        <v/>
      </c>
      <c r="H33" s="23">
        <f>COUNTIFS(Tasks!$B$2:$B$295,$A33,Tasks!$E$2:$E$295,H$29)</f>
        <v/>
      </c>
      <c r="I33" s="23">
        <f>COUNTIFS(Tasks!$B$2:$B$295,$A33,Tasks!$E$2:$E$295,I$29)</f>
        <v/>
      </c>
      <c r="J33" s="23">
        <f>COUNTIF(Tasks!$B$2:$B$295,$A33)</f>
        <v/>
      </c>
    </row>
    <row r="34">
      <c r="A34" s="23" t="inlineStr">
        <is>
          <t>HR dashboard</t>
        </is>
      </c>
      <c r="B34" s="23">
        <f>COUNTIFS(Tasks!$B$2:$B$295,$A34,Tasks!$E$2:$E$295,B$29)</f>
        <v/>
      </c>
      <c r="C34" s="23">
        <f>COUNTIFS(Tasks!$B$2:$B$295,$A34,Tasks!$E$2:$E$295,C$29)</f>
        <v/>
      </c>
      <c r="D34" s="23">
        <f>COUNTIFS(Tasks!$B$2:$B$295,$A34,Tasks!$E$2:$E$295,D$29)</f>
        <v/>
      </c>
      <c r="E34" s="23">
        <f>COUNTIFS(Tasks!$B$2:$B$295,$A34,Tasks!$E$2:$E$295,E$29)</f>
        <v/>
      </c>
      <c r="F34" s="23">
        <f>COUNTIFS(Tasks!$B$2:$B$295,$A34,Tasks!$E$2:$E$295,F$29)</f>
        <v/>
      </c>
      <c r="G34" s="23">
        <f>COUNTIFS(Tasks!$B$2:$B$295,$A34,Tasks!$E$2:$E$295,G$29)</f>
        <v/>
      </c>
      <c r="H34" s="23">
        <f>COUNTIFS(Tasks!$B$2:$B$295,$A34,Tasks!$E$2:$E$295,H$29)</f>
        <v/>
      </c>
      <c r="I34" s="23">
        <f>COUNTIFS(Tasks!$B$2:$B$295,$A34,Tasks!$E$2:$E$295,I$29)</f>
        <v/>
      </c>
      <c r="J34" s="23">
        <f>COUNTIF(Tasks!$B$2:$B$295,$A34)</f>
        <v/>
      </c>
    </row>
    <row r="35">
      <c r="A35" s="23" t="inlineStr">
        <is>
          <t>Self-service</t>
        </is>
      </c>
      <c r="B35" s="23">
        <f>COUNTIFS(Tasks!$B$2:$B$295,$A35,Tasks!$E$2:$E$295,B$29)</f>
        <v/>
      </c>
      <c r="C35" s="23">
        <f>COUNTIFS(Tasks!$B$2:$B$295,$A35,Tasks!$E$2:$E$295,C$29)</f>
        <v/>
      </c>
      <c r="D35" s="23">
        <f>COUNTIFS(Tasks!$B$2:$B$295,$A35,Tasks!$E$2:$E$295,D$29)</f>
        <v/>
      </c>
      <c r="E35" s="23">
        <f>COUNTIFS(Tasks!$B$2:$B$295,$A35,Tasks!$E$2:$E$295,E$29)</f>
        <v/>
      </c>
      <c r="F35" s="23">
        <f>COUNTIFS(Tasks!$B$2:$B$295,$A35,Tasks!$E$2:$E$295,F$29)</f>
        <v/>
      </c>
      <c r="G35" s="23">
        <f>COUNTIFS(Tasks!$B$2:$B$295,$A35,Tasks!$E$2:$E$295,G$29)</f>
        <v/>
      </c>
      <c r="H35" s="23">
        <f>COUNTIFS(Tasks!$B$2:$B$295,$A35,Tasks!$E$2:$E$295,H$29)</f>
        <v/>
      </c>
      <c r="I35" s="23">
        <f>COUNTIFS(Tasks!$B$2:$B$295,$A35,Tasks!$E$2:$E$295,I$29)</f>
        <v/>
      </c>
      <c r="J35" s="23">
        <f>COUNTIF(Tasks!$B$2:$B$295,$A35)</f>
        <v/>
      </c>
    </row>
    <row r="36">
      <c r="A36" s="23" t="inlineStr">
        <is>
          <t>Security</t>
        </is>
      </c>
      <c r="B36" s="23">
        <f>COUNTIFS(Tasks!$B$2:$B$295,$A36,Tasks!$E$2:$E$295,B$29)</f>
        <v/>
      </c>
      <c r="C36" s="23">
        <f>COUNTIFS(Tasks!$B$2:$B$295,$A36,Tasks!$E$2:$E$295,C$29)</f>
        <v/>
      </c>
      <c r="D36" s="23">
        <f>COUNTIFS(Tasks!$B$2:$B$295,$A36,Tasks!$E$2:$E$295,D$29)</f>
        <v/>
      </c>
      <c r="E36" s="23">
        <f>COUNTIFS(Tasks!$B$2:$B$295,$A36,Tasks!$E$2:$E$295,E$29)</f>
        <v/>
      </c>
      <c r="F36" s="23">
        <f>COUNTIFS(Tasks!$B$2:$B$295,$A36,Tasks!$E$2:$E$295,F$29)</f>
        <v/>
      </c>
      <c r="G36" s="23">
        <f>COUNTIFS(Tasks!$B$2:$B$295,$A36,Tasks!$E$2:$E$295,G$29)</f>
        <v/>
      </c>
      <c r="H36" s="23">
        <f>COUNTIFS(Tasks!$B$2:$B$295,$A36,Tasks!$E$2:$E$295,H$29)</f>
        <v/>
      </c>
      <c r="I36" s="23">
        <f>COUNTIFS(Tasks!$B$2:$B$295,$A36,Tasks!$E$2:$E$295,I$29)</f>
        <v/>
      </c>
      <c r="J36" s="23">
        <f>COUNTIF(Tasks!$B$2:$B$295,$A36)</f>
        <v/>
      </c>
    </row>
    <row r="37">
      <c r="A37" s="23" t="inlineStr">
        <is>
          <t>Leave</t>
        </is>
      </c>
      <c r="B37" s="23">
        <f>COUNTIFS(Tasks!$B$2:$B$295,$A37,Tasks!$E$2:$E$295,B$29)</f>
        <v/>
      </c>
      <c r="C37" s="23">
        <f>COUNTIFS(Tasks!$B$2:$B$295,$A37,Tasks!$E$2:$E$295,C$29)</f>
        <v/>
      </c>
      <c r="D37" s="23">
        <f>COUNTIFS(Tasks!$B$2:$B$295,$A37,Tasks!$E$2:$E$295,D$29)</f>
        <v/>
      </c>
      <c r="E37" s="23">
        <f>COUNTIFS(Tasks!$B$2:$B$295,$A37,Tasks!$E$2:$E$295,E$29)</f>
        <v/>
      </c>
      <c r="F37" s="23">
        <f>COUNTIFS(Tasks!$B$2:$B$295,$A37,Tasks!$E$2:$E$295,F$29)</f>
        <v/>
      </c>
      <c r="G37" s="23">
        <f>COUNTIFS(Tasks!$B$2:$B$295,$A37,Tasks!$E$2:$E$295,G$29)</f>
        <v/>
      </c>
      <c r="H37" s="23">
        <f>COUNTIFS(Tasks!$B$2:$B$295,$A37,Tasks!$E$2:$E$295,H$29)</f>
        <v/>
      </c>
      <c r="I37" s="23">
        <f>COUNTIFS(Tasks!$B$2:$B$295,$A37,Tasks!$E$2:$E$295,I$29)</f>
        <v/>
      </c>
      <c r="J37" s="23">
        <f>COUNTIF(Tasks!$B$2:$B$295,$A37)</f>
        <v/>
      </c>
    </row>
    <row r="38">
      <c r="A38" s="23" t="inlineStr">
        <is>
          <t>Approvals</t>
        </is>
      </c>
      <c r="B38" s="23">
        <f>COUNTIFS(Tasks!$B$2:$B$295,$A38,Tasks!$E$2:$E$295,B$29)</f>
        <v/>
      </c>
      <c r="C38" s="23">
        <f>COUNTIFS(Tasks!$B$2:$B$295,$A38,Tasks!$E$2:$E$295,C$29)</f>
        <v/>
      </c>
      <c r="D38" s="23">
        <f>COUNTIFS(Tasks!$B$2:$B$295,$A38,Tasks!$E$2:$E$295,D$29)</f>
        <v/>
      </c>
      <c r="E38" s="23">
        <f>COUNTIFS(Tasks!$B$2:$B$295,$A38,Tasks!$E$2:$E$295,E$29)</f>
        <v/>
      </c>
      <c r="F38" s="23">
        <f>COUNTIFS(Tasks!$B$2:$B$295,$A38,Tasks!$E$2:$E$295,F$29)</f>
        <v/>
      </c>
      <c r="G38" s="23">
        <f>COUNTIFS(Tasks!$B$2:$B$295,$A38,Tasks!$E$2:$E$295,G$29)</f>
        <v/>
      </c>
      <c r="H38" s="23">
        <f>COUNTIFS(Tasks!$B$2:$B$295,$A38,Tasks!$E$2:$E$295,H$29)</f>
        <v/>
      </c>
      <c r="I38" s="23">
        <f>COUNTIFS(Tasks!$B$2:$B$295,$A38,Tasks!$E$2:$E$295,I$29)</f>
        <v/>
      </c>
      <c r="J38" s="23">
        <f>COUNTIF(Tasks!$B$2:$B$295,$A38)</f>
        <v/>
      </c>
    </row>
    <row r="39">
      <c r="A39" s="23" t="inlineStr">
        <is>
          <t>Compliance</t>
        </is>
      </c>
      <c r="B39" s="23">
        <f>COUNTIFS(Tasks!$B$2:$B$295,$A39,Tasks!$E$2:$E$295,B$29)</f>
        <v/>
      </c>
      <c r="C39" s="23">
        <f>COUNTIFS(Tasks!$B$2:$B$295,$A39,Tasks!$E$2:$E$295,C$29)</f>
        <v/>
      </c>
      <c r="D39" s="23">
        <f>COUNTIFS(Tasks!$B$2:$B$295,$A39,Tasks!$E$2:$E$295,D$29)</f>
        <v/>
      </c>
      <c r="E39" s="23">
        <f>COUNTIFS(Tasks!$B$2:$B$295,$A39,Tasks!$E$2:$E$295,E$29)</f>
        <v/>
      </c>
      <c r="F39" s="23">
        <f>COUNTIFS(Tasks!$B$2:$B$295,$A39,Tasks!$E$2:$E$295,F$29)</f>
        <v/>
      </c>
      <c r="G39" s="23">
        <f>COUNTIFS(Tasks!$B$2:$B$295,$A39,Tasks!$E$2:$E$295,G$29)</f>
        <v/>
      </c>
      <c r="H39" s="23">
        <f>COUNTIFS(Tasks!$B$2:$B$295,$A39,Tasks!$E$2:$E$295,H$29)</f>
        <v/>
      </c>
      <c r="I39" s="23">
        <f>COUNTIFS(Tasks!$B$2:$B$295,$A39,Tasks!$E$2:$E$295,I$29)</f>
        <v/>
      </c>
      <c r="J39" s="23">
        <f>COUNTIF(Tasks!$B$2:$B$295,$A39)</f>
        <v/>
      </c>
    </row>
    <row r="40">
      <c r="A40" s="23" t="inlineStr">
        <is>
          <t>Integration</t>
        </is>
      </c>
      <c r="B40" s="23">
        <f>COUNTIFS(Tasks!$B$2:$B$295,$A40,Tasks!$E$2:$E$295,B$29)</f>
        <v/>
      </c>
      <c r="C40" s="23">
        <f>COUNTIFS(Tasks!$B$2:$B$295,$A40,Tasks!$E$2:$E$295,C$29)</f>
        <v/>
      </c>
      <c r="D40" s="23">
        <f>COUNTIFS(Tasks!$B$2:$B$295,$A40,Tasks!$E$2:$E$295,D$29)</f>
        <v/>
      </c>
      <c r="E40" s="23">
        <f>COUNTIFS(Tasks!$B$2:$B$295,$A40,Tasks!$E$2:$E$295,E$29)</f>
        <v/>
      </c>
      <c r="F40" s="23">
        <f>COUNTIFS(Tasks!$B$2:$B$295,$A40,Tasks!$E$2:$E$295,F$29)</f>
        <v/>
      </c>
      <c r="G40" s="23">
        <f>COUNTIFS(Tasks!$B$2:$B$295,$A40,Tasks!$E$2:$E$295,G$29)</f>
        <v/>
      </c>
      <c r="H40" s="23">
        <f>COUNTIFS(Tasks!$B$2:$B$295,$A40,Tasks!$E$2:$E$295,H$29)</f>
        <v/>
      </c>
      <c r="I40" s="23">
        <f>COUNTIFS(Tasks!$B$2:$B$295,$A40,Tasks!$E$2:$E$295,I$29)</f>
        <v/>
      </c>
      <c r="J40" s="23">
        <f>COUNTIF(Tasks!$B$2:$B$295,$A40)</f>
        <v/>
      </c>
    </row>
    <row r="41">
      <c r="A41" s="23" t="inlineStr">
        <is>
          <t>Payroll</t>
        </is>
      </c>
      <c r="B41" s="23">
        <f>COUNTIFS(Tasks!$B$2:$B$295,$A41,Tasks!$E$2:$E$295,B$29)</f>
        <v/>
      </c>
      <c r="C41" s="23">
        <f>COUNTIFS(Tasks!$B$2:$B$295,$A41,Tasks!$E$2:$E$295,C$29)</f>
        <v/>
      </c>
      <c r="D41" s="23">
        <f>COUNTIFS(Tasks!$B$2:$B$295,$A41,Tasks!$E$2:$E$295,D$29)</f>
        <v/>
      </c>
      <c r="E41" s="23">
        <f>COUNTIFS(Tasks!$B$2:$B$295,$A41,Tasks!$E$2:$E$295,E$29)</f>
        <v/>
      </c>
      <c r="F41" s="23">
        <f>COUNTIFS(Tasks!$B$2:$B$295,$A41,Tasks!$E$2:$E$295,F$29)</f>
        <v/>
      </c>
      <c r="G41" s="23">
        <f>COUNTIFS(Tasks!$B$2:$B$295,$A41,Tasks!$E$2:$E$295,G$29)</f>
        <v/>
      </c>
      <c r="H41" s="23">
        <f>COUNTIFS(Tasks!$B$2:$B$295,$A41,Tasks!$E$2:$E$295,H$29)</f>
        <v/>
      </c>
      <c r="I41" s="23">
        <f>COUNTIFS(Tasks!$B$2:$B$295,$A41,Tasks!$E$2:$E$295,I$29)</f>
        <v/>
      </c>
      <c r="J41" s="23">
        <f>COUNTIF(Tasks!$B$2:$B$295,$A41)</f>
        <v/>
      </c>
    </row>
    <row r="42">
      <c r="A42" s="23" t="inlineStr">
        <is>
          <t>Testing</t>
        </is>
      </c>
      <c r="B42" s="23">
        <f>COUNTIFS(Tasks!$B$2:$B$295,$A42,Tasks!$E$2:$E$295,B$29)</f>
        <v/>
      </c>
      <c r="C42" s="23">
        <f>COUNTIFS(Tasks!$B$2:$B$295,$A42,Tasks!$E$2:$E$295,C$29)</f>
        <v/>
      </c>
      <c r="D42" s="23">
        <f>COUNTIFS(Tasks!$B$2:$B$295,$A42,Tasks!$E$2:$E$295,D$29)</f>
        <v/>
      </c>
      <c r="E42" s="23">
        <f>COUNTIFS(Tasks!$B$2:$B$295,$A42,Tasks!$E$2:$E$295,E$29)</f>
        <v/>
      </c>
      <c r="F42" s="23">
        <f>COUNTIFS(Tasks!$B$2:$B$295,$A42,Tasks!$E$2:$E$295,F$29)</f>
        <v/>
      </c>
      <c r="G42" s="23">
        <f>COUNTIFS(Tasks!$B$2:$B$295,$A42,Tasks!$E$2:$E$295,G$29)</f>
        <v/>
      </c>
      <c r="H42" s="23">
        <f>COUNTIFS(Tasks!$B$2:$B$295,$A42,Tasks!$E$2:$E$295,H$29)</f>
        <v/>
      </c>
      <c r="I42" s="23">
        <f>COUNTIFS(Tasks!$B$2:$B$295,$A42,Tasks!$E$2:$E$295,I$29)</f>
        <v/>
      </c>
      <c r="J42" s="23">
        <f>COUNTIF(Tasks!$B$2:$B$295,$A42)</f>
        <v/>
      </c>
    </row>
    <row r="43">
      <c r="A43" s="23" t="inlineStr">
        <is>
          <t>Documentation</t>
        </is>
      </c>
      <c r="B43" s="23">
        <f>COUNTIFS(Tasks!$B$2:$B$295,$A43,Tasks!$E$2:$E$295,B$29)</f>
        <v/>
      </c>
      <c r="C43" s="23">
        <f>COUNTIFS(Tasks!$B$2:$B$295,$A43,Tasks!$E$2:$E$295,C$29)</f>
        <v/>
      </c>
      <c r="D43" s="23">
        <f>COUNTIFS(Tasks!$B$2:$B$295,$A43,Tasks!$E$2:$E$295,D$29)</f>
        <v/>
      </c>
      <c r="E43" s="23">
        <f>COUNTIFS(Tasks!$B$2:$B$295,$A43,Tasks!$E$2:$E$295,E$29)</f>
        <v/>
      </c>
      <c r="F43" s="23">
        <f>COUNTIFS(Tasks!$B$2:$B$295,$A43,Tasks!$E$2:$E$295,F$29)</f>
        <v/>
      </c>
      <c r="G43" s="23">
        <f>COUNTIFS(Tasks!$B$2:$B$295,$A43,Tasks!$E$2:$E$295,G$29)</f>
        <v/>
      </c>
      <c r="H43" s="23">
        <f>COUNTIFS(Tasks!$B$2:$B$295,$A43,Tasks!$E$2:$E$295,H$29)</f>
        <v/>
      </c>
      <c r="I43" s="23">
        <f>COUNTIFS(Tasks!$B$2:$B$295,$A43,Tasks!$E$2:$E$295,I$29)</f>
        <v/>
      </c>
      <c r="J43" s="23">
        <f>COUNTIF(Tasks!$B$2:$B$295,$A43)</f>
        <v/>
      </c>
    </row>
    <row r="44">
      <c r="A44" s="23" t="inlineStr">
        <is>
          <t>Academic presence</t>
        </is>
      </c>
      <c r="B44" s="23">
        <f>COUNTIFS(Tasks!$B$2:$B$295,$A44,Tasks!$E$2:$E$295,B$29)</f>
        <v/>
      </c>
      <c r="C44" s="23">
        <f>COUNTIFS(Tasks!$B$2:$B$295,$A44,Tasks!$E$2:$E$295,C$29)</f>
        <v/>
      </c>
      <c r="D44" s="23">
        <f>COUNTIFS(Tasks!$B$2:$B$295,$A44,Tasks!$E$2:$E$295,D$29)</f>
        <v/>
      </c>
      <c r="E44" s="23">
        <f>COUNTIFS(Tasks!$B$2:$B$295,$A44,Tasks!$E$2:$E$295,E$29)</f>
        <v/>
      </c>
      <c r="F44" s="23">
        <f>COUNTIFS(Tasks!$B$2:$B$295,$A44,Tasks!$E$2:$E$295,F$29)</f>
        <v/>
      </c>
      <c r="G44" s="23">
        <f>COUNTIFS(Tasks!$B$2:$B$295,$A44,Tasks!$E$2:$E$295,G$29)</f>
        <v/>
      </c>
      <c r="H44" s="23">
        <f>COUNTIFS(Tasks!$B$2:$B$295,$A44,Tasks!$E$2:$E$295,H$29)</f>
        <v/>
      </c>
      <c r="I44" s="23">
        <f>COUNTIFS(Tasks!$B$2:$B$295,$A44,Tasks!$E$2:$E$295,I$29)</f>
        <v/>
      </c>
      <c r="J44" s="23">
        <f>COUNTIF(Tasks!$B$2:$B$295,$A44)</f>
        <v/>
      </c>
    </row>
    <row r="45">
      <c r="A45" s="23" t="inlineStr">
        <is>
          <t>Employee master</t>
        </is>
      </c>
      <c r="B45" s="23">
        <f>COUNTIFS(Tasks!$B$2:$B$295,$A45,Tasks!$E$2:$E$295,B$29)</f>
        <v/>
      </c>
      <c r="C45" s="23">
        <f>COUNTIFS(Tasks!$B$2:$B$295,$A45,Tasks!$E$2:$E$295,C$29)</f>
        <v/>
      </c>
      <c r="D45" s="23">
        <f>COUNTIFS(Tasks!$B$2:$B$295,$A45,Tasks!$E$2:$E$295,D$29)</f>
        <v/>
      </c>
      <c r="E45" s="23">
        <f>COUNTIFS(Tasks!$B$2:$B$295,$A45,Tasks!$E$2:$E$295,E$29)</f>
        <v/>
      </c>
      <c r="F45" s="23">
        <f>COUNTIFS(Tasks!$B$2:$B$295,$A45,Tasks!$E$2:$E$295,F$29)</f>
        <v/>
      </c>
      <c r="G45" s="23">
        <f>COUNTIFS(Tasks!$B$2:$B$295,$A45,Tasks!$E$2:$E$295,G$29)</f>
        <v/>
      </c>
      <c r="H45" s="23">
        <f>COUNTIFS(Tasks!$B$2:$B$295,$A45,Tasks!$E$2:$E$295,H$29)</f>
        <v/>
      </c>
      <c r="I45" s="23">
        <f>COUNTIFS(Tasks!$B$2:$B$295,$A45,Tasks!$E$2:$E$295,I$29)</f>
        <v/>
      </c>
      <c r="J45" s="23">
        <f>COUNTIF(Tasks!$B$2:$B$295,$A45)</f>
        <v/>
      </c>
    </row>
    <row r="46">
      <c r="A46" s="23" t="inlineStr">
        <is>
          <t>Requests</t>
        </is>
      </c>
      <c r="B46" s="23">
        <f>COUNTIFS(Tasks!$B$2:$B$295,$A46,Tasks!$E$2:$E$295,B$29)</f>
        <v/>
      </c>
      <c r="C46" s="23">
        <f>COUNTIFS(Tasks!$B$2:$B$295,$A46,Tasks!$E$2:$E$295,C$29)</f>
        <v/>
      </c>
      <c r="D46" s="23">
        <f>COUNTIFS(Tasks!$B$2:$B$295,$A46,Tasks!$E$2:$E$295,D$29)</f>
        <v/>
      </c>
      <c r="E46" s="23">
        <f>COUNTIFS(Tasks!$B$2:$B$295,$A46,Tasks!$E$2:$E$295,E$29)</f>
        <v/>
      </c>
      <c r="F46" s="23">
        <f>COUNTIFS(Tasks!$B$2:$B$295,$A46,Tasks!$E$2:$E$295,F$29)</f>
        <v/>
      </c>
      <c r="G46" s="23">
        <f>COUNTIFS(Tasks!$B$2:$B$295,$A46,Tasks!$E$2:$E$295,G$29)</f>
        <v/>
      </c>
      <c r="H46" s="23">
        <f>COUNTIFS(Tasks!$B$2:$B$295,$A46,Tasks!$E$2:$E$295,H$29)</f>
        <v/>
      </c>
      <c r="I46" s="23">
        <f>COUNTIFS(Tasks!$B$2:$B$295,$A46,Tasks!$E$2:$E$295,I$29)</f>
        <v/>
      </c>
      <c r="J46" s="23">
        <f>COUNTIF(Tasks!$B$2:$B$295,$A46)</f>
        <v/>
      </c>
    </row>
    <row r="47">
      <c r="A47" s="23" t="inlineStr">
        <is>
          <t>Navigation</t>
        </is>
      </c>
      <c r="B47" s="23">
        <f>COUNTIFS(Tasks!$B$2:$B$295,$A47,Tasks!$E$2:$E$295,B$29)</f>
        <v/>
      </c>
      <c r="C47" s="23">
        <f>COUNTIFS(Tasks!$B$2:$B$295,$A47,Tasks!$E$2:$E$295,C$29)</f>
        <v/>
      </c>
      <c r="D47" s="23">
        <f>COUNTIFS(Tasks!$B$2:$B$295,$A47,Tasks!$E$2:$E$295,D$29)</f>
        <v/>
      </c>
      <c r="E47" s="23">
        <f>COUNTIFS(Tasks!$B$2:$B$295,$A47,Tasks!$E$2:$E$295,E$29)</f>
        <v/>
      </c>
      <c r="F47" s="23">
        <f>COUNTIFS(Tasks!$B$2:$B$295,$A47,Tasks!$E$2:$E$295,F$29)</f>
        <v/>
      </c>
      <c r="G47" s="23">
        <f>COUNTIFS(Tasks!$B$2:$B$295,$A47,Tasks!$E$2:$E$295,G$29)</f>
        <v/>
      </c>
      <c r="H47" s="23">
        <f>COUNTIFS(Tasks!$B$2:$B$295,$A47,Tasks!$E$2:$E$295,H$29)</f>
        <v/>
      </c>
      <c r="I47" s="23">
        <f>COUNTIFS(Tasks!$B$2:$B$295,$A47,Tasks!$E$2:$E$295,I$29)</f>
        <v/>
      </c>
      <c r="J47" s="23">
        <f>COUNTIF(Tasks!$B$2:$B$295,$A47)</f>
        <v/>
      </c>
    </row>
    <row r="48">
      <c r="A48" s="23" t="inlineStr">
        <is>
          <t>Repository</t>
        </is>
      </c>
      <c r="B48" s="23">
        <f>COUNTIFS(Tasks!$B$2:$B$295,$A48,Tasks!$E$2:$E$295,B$29)</f>
        <v/>
      </c>
      <c r="C48" s="23">
        <f>COUNTIFS(Tasks!$B$2:$B$295,$A48,Tasks!$E$2:$E$295,C$29)</f>
        <v/>
      </c>
      <c r="D48" s="23">
        <f>COUNTIFS(Tasks!$B$2:$B$295,$A48,Tasks!$E$2:$E$295,D$29)</f>
        <v/>
      </c>
      <c r="E48" s="23">
        <f>COUNTIFS(Tasks!$B$2:$B$295,$A48,Tasks!$E$2:$E$295,E$29)</f>
        <v/>
      </c>
      <c r="F48" s="23">
        <f>COUNTIFS(Tasks!$B$2:$B$295,$A48,Tasks!$E$2:$E$295,F$29)</f>
        <v/>
      </c>
      <c r="G48" s="23">
        <f>COUNTIFS(Tasks!$B$2:$B$295,$A48,Tasks!$E$2:$E$295,G$29)</f>
        <v/>
      </c>
      <c r="H48" s="23">
        <f>COUNTIFS(Tasks!$B$2:$B$295,$A48,Tasks!$E$2:$E$295,H$29)</f>
        <v/>
      </c>
      <c r="I48" s="23">
        <f>COUNTIFS(Tasks!$B$2:$B$295,$A48,Tasks!$E$2:$E$295,I$29)</f>
        <v/>
      </c>
      <c r="J48" s="23">
        <f>COUNTIF(Tasks!$B$2:$B$295,$A48)</f>
        <v/>
      </c>
    </row>
    <row r="49">
      <c r="A49" s="23" t="inlineStr">
        <is>
          <t>Infrastructure</t>
        </is>
      </c>
      <c r="B49" s="23">
        <f>COUNTIFS(Tasks!$B$2:$B$295,$A49,Tasks!$E$2:$E$295,B$29)</f>
        <v/>
      </c>
      <c r="C49" s="23">
        <f>COUNTIFS(Tasks!$B$2:$B$295,$A49,Tasks!$E$2:$E$295,C$29)</f>
        <v/>
      </c>
      <c r="D49" s="23">
        <f>COUNTIFS(Tasks!$B$2:$B$295,$A49,Tasks!$E$2:$E$295,D$29)</f>
        <v/>
      </c>
      <c r="E49" s="23">
        <f>COUNTIFS(Tasks!$B$2:$B$295,$A49,Tasks!$E$2:$E$295,E$29)</f>
        <v/>
      </c>
      <c r="F49" s="23">
        <f>COUNTIFS(Tasks!$B$2:$B$295,$A49,Tasks!$E$2:$E$295,F$29)</f>
        <v/>
      </c>
      <c r="G49" s="23">
        <f>COUNTIFS(Tasks!$B$2:$B$295,$A49,Tasks!$E$2:$E$295,G$29)</f>
        <v/>
      </c>
      <c r="H49" s="23">
        <f>COUNTIFS(Tasks!$B$2:$B$295,$A49,Tasks!$E$2:$E$295,H$29)</f>
        <v/>
      </c>
      <c r="I49" s="23">
        <f>COUNTIFS(Tasks!$B$2:$B$295,$A49,Tasks!$E$2:$E$295,I$29)</f>
        <v/>
      </c>
      <c r="J49" s="23">
        <f>COUNTIF(Tasks!$B$2:$B$295,$A49)</f>
        <v/>
      </c>
    </row>
    <row r="50">
      <c r="A50" s="23" t="inlineStr">
        <is>
          <t>Data</t>
        </is>
      </c>
      <c r="B50" s="23">
        <f>COUNTIFS(Tasks!$B$2:$B$295,$A50,Tasks!$E$2:$E$295,B$29)</f>
        <v/>
      </c>
      <c r="C50" s="23">
        <f>COUNTIFS(Tasks!$B$2:$B$295,$A50,Tasks!$E$2:$E$295,C$29)</f>
        <v/>
      </c>
      <c r="D50" s="23">
        <f>COUNTIFS(Tasks!$B$2:$B$295,$A50,Tasks!$E$2:$E$295,D$29)</f>
        <v/>
      </c>
      <c r="E50" s="23">
        <f>COUNTIFS(Tasks!$B$2:$B$295,$A50,Tasks!$E$2:$E$295,E$29)</f>
        <v/>
      </c>
      <c r="F50" s="23">
        <f>COUNTIFS(Tasks!$B$2:$B$295,$A50,Tasks!$E$2:$E$295,F$29)</f>
        <v/>
      </c>
      <c r="G50" s="23">
        <f>COUNTIFS(Tasks!$B$2:$B$295,$A50,Tasks!$E$2:$E$295,G$29)</f>
        <v/>
      </c>
      <c r="H50" s="23">
        <f>COUNTIFS(Tasks!$B$2:$B$295,$A50,Tasks!$E$2:$E$295,H$29)</f>
        <v/>
      </c>
      <c r="I50" s="23">
        <f>COUNTIFS(Tasks!$B$2:$B$295,$A50,Tasks!$E$2:$E$295,I$29)</f>
        <v/>
      </c>
      <c r="J50" s="23">
        <f>COUNTIF(Tasks!$B$2:$B$295,$A50)</f>
        <v/>
      </c>
    </row>
    <row r="51">
      <c r="A51" s="23" t="inlineStr">
        <is>
          <t>Deployment</t>
        </is>
      </c>
      <c r="B51" s="23">
        <f>COUNTIFS(Tasks!$B$2:$B$295,$A51,Tasks!$E$2:$E$295,B$29)</f>
        <v/>
      </c>
      <c r="C51" s="23">
        <f>COUNTIFS(Tasks!$B$2:$B$295,$A51,Tasks!$E$2:$E$295,C$29)</f>
        <v/>
      </c>
      <c r="D51" s="23">
        <f>COUNTIFS(Tasks!$B$2:$B$295,$A51,Tasks!$E$2:$E$295,D$29)</f>
        <v/>
      </c>
      <c r="E51" s="23">
        <f>COUNTIFS(Tasks!$B$2:$B$295,$A51,Tasks!$E$2:$E$295,E$29)</f>
        <v/>
      </c>
      <c r="F51" s="23">
        <f>COUNTIFS(Tasks!$B$2:$B$295,$A51,Tasks!$E$2:$E$295,F$29)</f>
        <v/>
      </c>
      <c r="G51" s="23">
        <f>COUNTIFS(Tasks!$B$2:$B$295,$A51,Tasks!$E$2:$E$295,G$29)</f>
        <v/>
      </c>
      <c r="H51" s="23">
        <f>COUNTIFS(Tasks!$B$2:$B$295,$A51,Tasks!$E$2:$E$295,H$29)</f>
        <v/>
      </c>
      <c r="I51" s="23">
        <f>COUNTIFS(Tasks!$B$2:$B$295,$A51,Tasks!$E$2:$E$295,I$29)</f>
        <v/>
      </c>
      <c r="J51" s="23">
        <f>COUNTIF(Tasks!$B$2:$B$295,$A51)</f>
        <v/>
      </c>
    </row>
    <row r="52">
      <c r="A52" s="23" t="inlineStr">
        <is>
          <t>Jameah</t>
        </is>
      </c>
      <c r="B52" s="23">
        <f>COUNTIFS(Tasks!$B$2:$B$295,$A52,Tasks!$E$2:$E$295,B$29)</f>
        <v/>
      </c>
      <c r="C52" s="23">
        <f>COUNTIFS(Tasks!$B$2:$B$295,$A52,Tasks!$E$2:$E$295,C$29)</f>
        <v/>
      </c>
      <c r="D52" s="23">
        <f>COUNTIFS(Tasks!$B$2:$B$295,$A52,Tasks!$E$2:$E$295,D$29)</f>
        <v/>
      </c>
      <c r="E52" s="23">
        <f>COUNTIFS(Tasks!$B$2:$B$295,$A52,Tasks!$E$2:$E$295,E$29)</f>
        <v/>
      </c>
      <c r="F52" s="23">
        <f>COUNTIFS(Tasks!$B$2:$B$295,$A52,Tasks!$E$2:$E$295,F$29)</f>
        <v/>
      </c>
      <c r="G52" s="23">
        <f>COUNTIFS(Tasks!$B$2:$B$295,$A52,Tasks!$E$2:$E$295,G$29)</f>
        <v/>
      </c>
      <c r="H52" s="23">
        <f>COUNTIFS(Tasks!$B$2:$B$295,$A52,Tasks!$E$2:$E$295,H$29)</f>
        <v/>
      </c>
      <c r="I52" s="23">
        <f>COUNTIFS(Tasks!$B$2:$B$295,$A52,Tasks!$E$2:$E$295,I$29)</f>
        <v/>
      </c>
      <c r="J52" s="23">
        <f>COUNTIF(Tasks!$B$2:$B$295,$A52)</f>
        <v/>
      </c>
    </row>
    <row r="53"/>
    <row r="54">
      <c r="A54" s="21" t="inlineStr">
        <is>
          <t>Bugs</t>
        </is>
      </c>
      <c r="B54" s="21" t="inlineStr">
        <is>
          <t>Count</t>
        </is>
      </c>
    </row>
    <row r="55">
      <c r="A55" s="22" t="inlineStr">
        <is>
          <t>Fixed</t>
        </is>
      </c>
      <c r="B55" s="23">
        <f>COUNTIF(Bugs!$H$2:$H$156,A55)</f>
        <v/>
      </c>
    </row>
    <row r="56">
      <c r="A56" s="32" t="inlineStr">
        <is>
          <t>Open</t>
        </is>
      </c>
      <c r="B56" s="23">
        <f>COUNTIF(Bugs!$H$2:$H$156,A56)</f>
        <v/>
      </c>
    </row>
    <row r="57">
      <c r="A57" s="29" t="inlineStr">
        <is>
          <t>Open – other team</t>
        </is>
      </c>
      <c r="B57" s="23">
        <f>COUNTIF(Bugs!$H$2:$H$156,A57)</f>
        <v/>
      </c>
    </row>
    <row r="58">
      <c r="A58" s="27" t="inlineStr">
        <is>
          <t>Open – check server</t>
        </is>
      </c>
      <c r="B58" s="23">
        <f>COUNTIF(Bugs!$H$2:$H$156,A58)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Abdul Hakeem</t>
        </is>
      </c>
      <c r="H12" s="34" t="inlineStr">
        <is>
          <t>High</t>
        </is>
      </c>
      <c r="I12" s="35" t="inlineStr">
        <is>
          <t>Not started. Instructors with an Employee record can already use /app/employee-dashboard.</t>
        </is>
      </c>
      <c r="J12" s="35" t="inlineStr">
        <is>
          <t>Add the request and leave cards to the Instructor / HOD dashboards from Medical HRMS (page scripts in this app).</t>
        </is>
      </c>
      <c r="K12" s="35" t="inlineStr">
        <is>
          <t>HRM_TASK_TRACKER.md</t>
        </is>
      </c>
      <c r="L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t>
        </is>
      </c>
      <c r="E17" s="34" t="inlineStr">
        <is>
          <t>Pending – development</t>
        </is>
      </c>
      <c r="F17" s="34" t="inlineStr">
        <is>
          <t>Abdul Hakeem</t>
        </is>
      </c>
      <c r="G17" s="34" t="inlineStr">
        <is>
          <t>Abdul Hakeem</t>
        </is>
      </c>
      <c r="H17" s="34" t="inlineStr">
        <is>
          <t>Medium</t>
        </is>
      </c>
      <c r="I17" s="35" t="inlineStr">
        <is>
          <t>Drafts can be saved; employees cannot edit sent requests.</t>
        </is>
      </c>
      <c r="J17" s="35" t="inlineStr">
        <is>
          <t>Let employees open their draft and send it; allow resubmitting a rejected request as a new one with history.</t>
        </is>
      </c>
      <c r="K17" s="35" t="inlineStr">
        <is>
          <t>HRM_UAT_SCENARIOS.md #3</t>
        </is>
      </c>
      <c r="L17" s="34" t="inlineStr">
        <is>
          <t>21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build the workflow; label amounts in SAR (some messages say AED).</t>
        </is>
      </c>
      <c r="K27" s="35" t="inlineStr">
        <is>
          <t>overrides/; HRM_APPROVAL_MATRIX.md</t>
        </is>
      </c>
      <c r="L27" s="34" t="inlineStr">
        <is>
          <t>21 Oct 2026</t>
        </is>
      </c>
    </row>
    <row r="28">
      <c r="A28" s="33" t="inlineStr">
        <is>
          <t>HR-25</t>
        </is>
      </c>
      <c r="B28" s="34" t="inlineStr">
        <is>
          <t>Approvals</t>
        </is>
      </c>
      <c r="C28" s="35" t="inlineStr">
        <is>
          <t>Notifications, rejection reasons and audit trail</t>
        </is>
      </c>
      <c r="D28" s="34" t="inlineStr">
        <is>
          <t>—</t>
        </is>
      </c>
      <c r="E28" s="34" t="inlineStr">
        <is>
          <t>Pending – development</t>
        </is>
      </c>
      <c r="F28" s="34" t="inlineStr">
        <is>
          <t>Abdul Hakeem + HR</t>
        </is>
      </c>
      <c r="G28" s="34" t="inlineStr">
        <is>
          <t>Abdul Hakeem</t>
        </is>
      </c>
      <c r="H28" s="34" t="inlineStr">
        <is>
          <t>Medium</t>
        </is>
      </c>
      <c r="I28" s="35" t="inlineStr">
        <is>
          <t>Changes are tracked (track_changes). E-mail sending fails on this copy (HR-47).</t>
        </is>
      </c>
      <c r="J28" s="35" t="inlineStr">
        <is>
          <t>Add rejection reason; send submit/approve/reject e-mails once the mail account works.</t>
        </is>
      </c>
      <c r="K28" s="35" t="inlineStr">
        <is>
          <t>HRM_UAT_SCENARIOS.md</t>
        </is>
      </c>
      <c r="L28" s="34" t="inlineStr">
        <is>
          <t>21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 23 Oct: the system has no exam committees yet, so the tab is empty (shown in the User Guide).</t>
        </is>
      </c>
      <c r="J40" s="35" t="inlineStr">
        <is>
          <t>Enter the exam committees with their proctors (Checklist CL-38).</t>
        </is>
      </c>
      <c r="K40" s="35" t="inlineStr">
        <is>
          <t>0578d3d</t>
        </is>
      </c>
      <c r="L40" s="34" t="inlineStr">
        <is>
          <t>23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(one-hour slots, 7:00-22:00). Tested: 8 Sep 2026 = 858 expected, 397 present (matches attendance).</t>
        </is>
      </c>
      <c r="J41" s="35" t="inlineStr">
        <is>
          <t>HR UAT; the client asked for each period: one-hour slots or the college's own periods (DEC-15).</t>
        </is>
      </c>
      <c r="K41" s="35" t="inlineStr">
        <is>
          <t>0578d3d</t>
        </is>
      </c>
      <c r="L41" s="34" t="inlineStr">
        <is>
          <t>23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Fathir: the phone error message gives a Sri Lankan example (+94 77 123 4567); use a Saudi one (+966 5x xxx xxxx).</t>
        </is>
      </c>
      <c r="K56" s="35" t="inlineStr">
        <is>
          <t>www/job-application.html; www/job_application.py; recruitment/receipt.py</t>
        </is>
      </c>
      <c r="L56" s="34" t="inlineStr">
        <is>
          <t>23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HR-75</t>
        </is>
      </c>
      <c r="B60" s="34" t="inlineStr">
        <is>
          <t>Testing</t>
        </is>
      </c>
      <c r="C60" s="35" t="inlineStr">
        <is>
          <t>Testing team UAT round: test cases and guides</t>
        </is>
      </c>
      <c r="D60" s="34" t="inlineStr">
        <is>
          <t>27 Oct 2026</t>
        </is>
      </c>
      <c r="E60" s="34" t="inlineStr">
        <is>
          <t>In progress</t>
        </is>
      </c>
      <c r="F60" s="34" t="inlineStr">
        <is>
          <t>Abdul Hakeem</t>
        </is>
      </c>
      <c r="G60" s="34" t="inlineStr">
        <is>
          <t>Testing team</t>
        </is>
      </c>
      <c r="H60" s="34" t="inlineStr">
        <is>
          <t>High</t>
        </is>
      </c>
      <c r="I60" s="35" t="inlineStr">
        <is>
          <t>27 Oct: Abdul Hakeem gave the testing team the Test Cases workbook (130 cases, 12 modules) and both PDF guides (User Guide, Installation and Setup Guide); testing started. They record each result and any bug in the Test Cases workbook.</t>
        </is>
      </c>
      <c r="J60" s="35" t="inlineStr">
        <is>
          <t>Collect their results and bug reports; fix the bugs, retest and mark them in the Bugs sheet (Checklist CL-23).</t>
        </is>
      </c>
      <c r="K60" s="35" t="inlineStr">
        <is>
          <t>Test Cases workbook; docs/guides</t>
        </is>
      </c>
      <c r="L60" s="34" t="inlineStr">
        <is>
          <t>27 Oct 2026</t>
        </is>
      </c>
    </row>
    <row r="61">
      <c r="A61" s="33" t="inlineStr">
        <is>
          <t>HR-74</t>
        </is>
      </c>
      <c r="B61" s="34" t="inlineStr">
        <is>
          <t>Documentation</t>
        </is>
      </c>
      <c r="C61" s="35" t="inlineStr">
        <is>
          <t>Installation and Setup Guide and User Guide (PDF)</t>
        </is>
      </c>
      <c r="D61" s="34" t="inlineStr">
        <is>
          <t>23 Oct 2026</t>
        </is>
      </c>
      <c r="E61" s="34" t="inlineStr">
        <is>
          <t>Done</t>
        </is>
      </c>
      <c r="F61" s="34" t="inlineStr">
        <is>
          <t>Abdul Hakeem</t>
        </is>
      </c>
      <c r="G61" s="34" t="inlineStr">
        <is>
          <t>Abdul Hakeem</t>
        </is>
      </c>
      <c r="H61" s="34" t="inlineStr">
        <is>
          <t>High</t>
        </is>
      </c>
      <c r="I61" s="35" t="inlineStr">
        <is>
          <t>Two PDF guides in docs/guides: Installation and Setup Guide (21 pages: install, update, checks, first-time setup, leave year, sick leave, Jameah setup, Ministry agent account, staff data sheets, testing, troubleshooting, commands) and User Guide (30 pages: Employee Portal and the leave flow, every request, HR Portal, leave approvals and returns, recruitment, Ministry data, Academic Presence, Jameah pages, approvers, how to test and report bugs, Q&amp;A). 31 screenshots from the test site with QA test data only. Sources (HTML) and build.py kept in docs/guides/src so the guides can be rebuilt after changes. Writing them found two bugs (B-54, B-55). Re-tested: 95/95 browser checks, 42 unit tests (0 failures), 0 file and 0 site problems, 29 server methods x 3 roles, no Error Log entries.</t>
        </is>
      </c>
      <c r="J61" s="35" t="inlineStr">
        <is>
          <t>HR, managers and the testing team read the User Guide; the server admin the Installation Guide (Checklist CL-37). Rebuild after changes: python docs/guides/src/build.py.</t>
        </is>
      </c>
      <c r="K61" s="35" t="inlineStr">
        <is>
          <t>docs/guides</t>
        </is>
      </c>
      <c r="L61" s="34" t="inlineStr">
        <is>
          <t>23 Oct 2026</t>
        </is>
      </c>
    </row>
    <row r="62">
      <c r="A62" s="33" t="inlineStr">
        <is>
          <t>HR-66</t>
        </is>
      </c>
      <c r="B62" s="34" t="inlineStr">
        <is>
          <t>HR dashboard</t>
        </is>
      </c>
      <c r="C62" s="35" t="inlineStr">
        <is>
          <t>HR Portal and Employee Portal in the new college design</t>
        </is>
      </c>
      <c r="D62" s="34" t="inlineStr">
        <is>
          <t>21 Oct 2026</t>
        </is>
      </c>
      <c r="E62" s="34" t="inlineStr">
        <is>
          <t>Done</t>
        </is>
      </c>
      <c r="F62" s="34" t="inlineStr">
        <is>
          <t>Abdul Hakeem</t>
        </is>
      </c>
      <c r="G62" s="34" t="inlineStr">
        <is>
          <t>Abdul Hakeem</t>
        </is>
      </c>
      <c r="H62" s="34" t="inlineStr">
        <is>
          <t>High</t>
        </is>
      </c>
      <c r="I62"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2" s="35" t="inlineStr">
        <is>
          <t>Client to review the look; standard Frappe lists and forms keep the normal desk.</t>
        </is>
      </c>
      <c r="K62" s="35" t="inlineStr">
        <is>
          <t>hr_portal.js; hr_portal.css; translations/ar.csv</t>
        </is>
      </c>
      <c r="L62" s="34" t="inlineStr">
        <is>
          <t>23 Oct 2026</t>
        </is>
      </c>
    </row>
    <row r="63">
      <c r="A63" s="33" t="inlineStr">
        <is>
          <t>HR-62</t>
        </is>
      </c>
      <c r="B63" s="34" t="inlineStr">
        <is>
          <t>Security</t>
        </is>
      </c>
      <c r="C63" s="35" t="inlineStr">
        <is>
          <t>HR User could not open the Holiday List ('Not permitted')</t>
        </is>
      </c>
      <c r="D63" s="34" t="inlineStr">
        <is>
          <t>21 Oct 2026</t>
        </is>
      </c>
      <c r="E63" s="34" t="inlineStr">
        <is>
          <t>Done</t>
        </is>
      </c>
      <c r="F63" s="34" t="inlineStr">
        <is>
          <t>Abdul Hakeem</t>
        </is>
      </c>
      <c r="G63" s="34" t="inlineStr">
        <is>
          <t>Abdul Hakeem</t>
        </is>
      </c>
      <c r="H63" s="34" t="inlineStr">
        <is>
          <t>Medium</t>
        </is>
      </c>
      <c r="I63" s="35" t="inlineStr">
        <is>
          <t>ERPNext grants Holiday List to HR Manager only, but HR Users manage employees (whose form links a holiday list) and check holidays when approving leave. HR User now has read-only access.</t>
        </is>
      </c>
      <c r="J63" s="35" t="inlineStr">
        <is>
          <t>Deploy (HR-58).</t>
        </is>
      </c>
      <c r="K63" s="35" t="inlineStr">
        <is>
          <t>hr_core_permissions.py</t>
        </is>
      </c>
      <c r="L63" s="34" t="inlineStr">
        <is>
          <t>21 Oct 2026</t>
        </is>
      </c>
    </row>
    <row r="64">
      <c r="A64" s="33" t="inlineStr">
        <is>
          <t>HR-46</t>
        </is>
      </c>
      <c r="B64" s="34" t="inlineStr">
        <is>
          <t>Testing</t>
        </is>
      </c>
      <c r="C64" s="35" t="inlineStr">
        <is>
          <t>Full end-to-end test with error sweep (round 3)</t>
        </is>
      </c>
      <c r="D64" s="34" t="inlineStr">
        <is>
          <t>21 Oct 2026</t>
        </is>
      </c>
      <c r="E64" s="34" t="inlineStr">
        <is>
          <t>Done</t>
        </is>
      </c>
      <c r="F64" s="34" t="inlineStr">
        <is>
          <t>Abdul Hakeem</t>
        </is>
      </c>
      <c r="G64" s="34" t="inlineStr">
        <is>
          <t>Abdul Hakeem</t>
        </is>
      </c>
      <c r="H64" s="34" t="inlineStr">
        <is>
          <t>High</t>
        </is>
      </c>
      <c r="I64" s="35" t="inlineStr">
        <is>
          <t>All modules plus an error sweep of every page for four roles. Results in the Test Report.</t>
        </is>
      </c>
      <c r="J64" s="35" t="inlineStr">
        <is>
          <t>Client UAT.</t>
        </is>
      </c>
      <c r="K64" s="35" t="inlineStr">
        <is>
          <t>Test Report</t>
        </is>
      </c>
      <c r="L64" s="34" t="inlineStr">
        <is>
          <t>21 Oct 2026</t>
        </is>
      </c>
    </row>
    <row r="65">
      <c r="A65" s="33" t="inlineStr">
        <is>
          <t>HR-47</t>
        </is>
      </c>
      <c r="B65" s="34" t="inlineStr">
        <is>
          <t>Infrastructure</t>
        </is>
      </c>
      <c r="C65" s="35" t="inlineStr">
        <is>
          <t>System e-mail account password cannot be decrypted</t>
        </is>
      </c>
      <c r="D65" s="34" t="inlineStr">
        <is>
          <t>—</t>
        </is>
      </c>
      <c r="E65" s="34" t="inlineStr">
        <is>
          <t>Pending – data / setup</t>
        </is>
      </c>
      <c r="F65" s="34" t="inlineStr">
        <is>
          <t>Server admin</t>
        </is>
      </c>
      <c r="G65" s="34" t="inlineStr">
        <is>
          <t>Server admin</t>
        </is>
      </c>
      <c r="H65" s="34" t="inlineStr">
        <is>
          <t>High</t>
        </is>
      </c>
      <c r="I65" s="35" t="inlineStr">
        <is>
          <t>Error Log: 'Failed to decrypt key Email Account.Notifications.password' 10 times (13–20 Oct); 3 e-mails stuck. Every system e-mail fails while this is broken.</t>
        </is>
      </c>
      <c r="J65" s="35" t="inlineStr">
        <is>
          <t>On the live server: open Email Account 'Notifications', re-enter the password, save, send a test e-mail. Check the Error Log there for the same error.</t>
        </is>
      </c>
      <c r="K65" s="35" t="inlineStr">
        <is>
          <t>Error Log; Email Queue</t>
        </is>
      </c>
      <c r="L65" s="34" t="inlineStr">
        <is>
          <t>21 Oct 2026</t>
        </is>
      </c>
    </row>
    <row r="66">
      <c r="A66" s="33" t="inlineStr">
        <is>
          <t>HR-48</t>
        </is>
      </c>
      <c r="B66" s="34" t="inlineStr">
        <is>
          <t>Integration</t>
        </is>
      </c>
      <c r="C66" s="35" t="inlineStr">
        <is>
          <t>Instructor form: linking an Employee fails on save</t>
        </is>
      </c>
      <c r="D66" s="34" t="inlineStr">
        <is>
          <t>—</t>
        </is>
      </c>
      <c r="E66" s="34" t="inlineStr">
        <is>
          <t>Pending – development</t>
        </is>
      </c>
      <c r="F66" s="34" t="inlineStr">
        <is>
          <t>Abdul Hakeem</t>
        </is>
      </c>
      <c r="G66" s="34" t="inlineStr">
        <is>
          <t>Abdul Hakeem</t>
        </is>
      </c>
      <c r="H66" s="34" t="inlineStr">
        <is>
          <t>Medium</t>
        </is>
      </c>
      <c r="I66" s="35" t="inlineStr">
        <is>
          <t>Instructor copies gender/department from Employee into its own lists, which reject Ministry codes. Recruitment works around it.</t>
        </is>
      </c>
      <c r="J66" s="35" t="inlineStr">
        <is>
          <t>Fix it from Medical HRMS: give the Instructor form the matching value when it copies gender / department from the Employee.</t>
        </is>
      </c>
      <c r="K66" s="35" t="inlineStr">
        <is>
          <t>Instructor form; medical_hrms</t>
        </is>
      </c>
      <c r="L66" s="34" t="inlineStr">
        <is>
          <t>23 Oct 2026</t>
        </is>
      </c>
    </row>
    <row r="67">
      <c r="A67" s="33" t="inlineStr">
        <is>
          <t>HR-49</t>
        </is>
      </c>
      <c r="B67" s="34" t="inlineStr">
        <is>
          <t>Registration</t>
        </is>
      </c>
      <c r="C67" s="35" t="inlineStr">
        <is>
          <t>Report: Employees Missing Ministry Data</t>
        </is>
      </c>
      <c r="D67" s="34" t="inlineStr">
        <is>
          <t>21 Oct 2026</t>
        </is>
      </c>
      <c r="E67" s="34" t="inlineStr">
        <is>
          <t>Done</t>
        </is>
      </c>
      <c r="F67" s="34" t="inlineStr">
        <is>
          <t>Abdul Hakeem</t>
        </is>
      </c>
      <c r="G67" s="34" t="inlineStr">
        <is>
          <t>Abdul Hakeem</t>
        </is>
      </c>
      <c r="H67" s="34" t="inlineStr">
        <is>
          <t>Medium</t>
        </is>
      </c>
      <c r="I67"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67" s="35" t="inlineStr">
        <is>
          <t>HR to use it to complete the data (HR-50 sheet).</t>
        </is>
      </c>
      <c r="K67" s="35" t="inlineStr">
        <is>
          <t>report/employees_missing_ministry_data</t>
        </is>
      </c>
      <c r="L67" s="34" t="inlineStr">
        <is>
          <t>21 Oct 2026</t>
        </is>
      </c>
    </row>
    <row r="68">
      <c r="A68" s="33" t="inlineStr">
        <is>
          <t>HR-50</t>
        </is>
      </c>
      <c r="B68" s="34" t="inlineStr">
        <is>
          <t>Registration</t>
        </is>
      </c>
      <c r="C68" s="35" t="inlineStr">
        <is>
          <t>Data sheet for non-academic staff</t>
        </is>
      </c>
      <c r="D68" s="34" t="inlineStr">
        <is>
          <t>21 Oct 2026</t>
        </is>
      </c>
      <c r="E68" s="34" t="inlineStr">
        <is>
          <t>Done</t>
        </is>
      </c>
      <c r="F68" s="34" t="inlineStr">
        <is>
          <t>Abdul Hakeem</t>
        </is>
      </c>
      <c r="G68" s="34" t="inlineStr">
        <is>
          <t>Abdul Hakeem</t>
        </is>
      </c>
      <c r="H68" s="34" t="inlineStr">
        <is>
          <t>Medium</t>
        </is>
      </c>
      <c r="I68"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68" s="35" t="inlineStr">
        <is>
          <t>HR to fill the sheet for all non-academic staff.</t>
        </is>
      </c>
      <c r="K68" s="35" t="inlineStr">
        <is>
          <t>employee_data_sheet.py</t>
        </is>
      </c>
      <c r="L68" s="34" t="inlineStr">
        <is>
          <t>21 Oct 2026</t>
        </is>
      </c>
    </row>
    <row r="69">
      <c r="A69" s="33" t="inlineStr">
        <is>
          <t>HR-51</t>
        </is>
      </c>
      <c r="B69" s="34" t="inlineStr">
        <is>
          <t>Recruitment</t>
        </is>
      </c>
      <c r="C69" s="35" t="inlineStr">
        <is>
          <t>Unused duplicate of the applicant Ministry fields removed</t>
        </is>
      </c>
      <c r="D69" s="34" t="inlineStr">
        <is>
          <t>21 Oct 2026</t>
        </is>
      </c>
      <c r="E69" s="34" t="inlineStr">
        <is>
          <t>Done</t>
        </is>
      </c>
      <c r="F69" s="34" t="inlineStr">
        <is>
          <t>Abdul Hakeem</t>
        </is>
      </c>
      <c r="G69" s="34" t="inlineStr">
        <is>
          <t>Abdul Hakeem</t>
        </is>
      </c>
      <c r="H69" s="34" t="inlineStr">
        <is>
          <t>Low</t>
        </is>
      </c>
      <c r="I69"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69" s="35" t="inlineStr">
        <is>
          <t>Watch the migrate output on the live server for 'Kept (they hold data...)'.</t>
        </is>
      </c>
      <c r="K69" s="35" t="inlineStr">
        <is>
          <t>patches/remove_duplicate_job_applicant_ministry_fields.py</t>
        </is>
      </c>
      <c r="L69" s="34" t="inlineStr">
        <is>
          <t>21 Oct 2026</t>
        </is>
      </c>
    </row>
    <row r="70">
      <c r="A70" s="33" t="inlineStr">
        <is>
          <t>HR-52</t>
        </is>
      </c>
      <c r="B70" s="34" t="inlineStr">
        <is>
          <t>Registration</t>
        </is>
      </c>
      <c r="C70" s="35" t="inlineStr">
        <is>
          <t>Identity number length: 9–10 digits (spec) vs exactly 10 (current check)</t>
        </is>
      </c>
      <c r="D70" s="34" t="inlineStr">
        <is>
          <t>—</t>
        </is>
      </c>
      <c r="E70" s="34" t="inlineStr">
        <is>
          <t>Pending – decision needed</t>
        </is>
      </c>
      <c r="F70" s="34" t="inlineStr">
        <is>
          <t>HR + Ministry contact</t>
        </is>
      </c>
      <c r="G70" s="34" t="inlineStr">
        <is>
          <t>HR + Ministry contact</t>
        </is>
      </c>
      <c r="H70" s="34" t="inlineStr">
        <is>
          <t>Medium</t>
        </is>
      </c>
      <c r="I70" s="35" t="inlineStr">
        <is>
          <t>Current rule: National ID and Iqama = exactly 10 digits (real format). Ministry document says civil registry 9–10 digits.</t>
        </is>
      </c>
      <c r="J70" s="35" t="inlineStr">
        <is>
          <t>Confirm whether 9-digit numbers must be accepted.</t>
        </is>
      </c>
      <c r="K70" s="35" t="inlineStr">
        <is>
          <t>ministry_lookup_validation.py</t>
        </is>
      </c>
      <c r="L70" s="34" t="inlineStr">
        <is>
          <t>21 Oct 2026</t>
        </is>
      </c>
    </row>
    <row r="71">
      <c r="A71" s="33" t="inlineStr">
        <is>
          <t>HR-53</t>
        </is>
      </c>
      <c r="B71" s="34" t="inlineStr">
        <is>
          <t>Data</t>
        </is>
      </c>
      <c r="C71" s="35" t="inlineStr">
        <is>
          <t>Demo employee EMP-00001 misses mandatory Ministry fields</t>
        </is>
      </c>
      <c r="D71" s="34" t="inlineStr">
        <is>
          <t>—</t>
        </is>
      </c>
      <c r="E71" s="34" t="inlineStr">
        <is>
          <t>Pending – data / setup</t>
        </is>
      </c>
      <c r="F71" s="34" t="inlineStr">
        <is>
          <t>HR</t>
        </is>
      </c>
      <c r="G71" s="34" t="inlineStr">
        <is>
          <t>HR</t>
        </is>
      </c>
      <c r="H71" s="34" t="inlineStr">
        <is>
          <t>Low</t>
        </is>
      </c>
      <c r="I71" s="35" t="inlineStr">
        <is>
          <t>It can't be saved again until completed. Belongs to the demo company 'Medical College'.</t>
        </is>
      </c>
      <c r="J71" s="35" t="inlineStr">
        <is>
          <t>Complete or delete the demo record before go-live.</t>
        </is>
      </c>
      <c r="K71" s="35" t="inlineStr">
        <is>
          <t>Employee EMP-00001</t>
        </is>
      </c>
      <c r="L71" s="34" t="inlineStr">
        <is>
          <t>21 Oct 2026</t>
        </is>
      </c>
    </row>
    <row r="72">
      <c r="A72" s="33" t="inlineStr">
        <is>
          <t>HR-54</t>
        </is>
      </c>
      <c r="B72" s="34" t="inlineStr">
        <is>
          <t>Data</t>
        </is>
      </c>
      <c r="C72" s="35" t="inlineStr">
        <is>
          <t>Website logo file missing (/files/rchs-logo.png)</t>
        </is>
      </c>
      <c r="D72" s="34" t="inlineStr">
        <is>
          <t>—</t>
        </is>
      </c>
      <c r="E72" s="34" t="inlineStr">
        <is>
          <t>Pending – data / setup</t>
        </is>
      </c>
      <c r="F72" s="34" t="inlineStr">
        <is>
          <t>Server admin</t>
        </is>
      </c>
      <c r="G72" s="34" t="inlineStr">
        <is>
          <t>Server admin</t>
        </is>
      </c>
      <c r="H72" s="34" t="inlineStr">
        <is>
          <t>Low</t>
        </is>
      </c>
      <c r="I72" s="35" t="inlineStr">
        <is>
          <t>Missing on the local copy; every page requests it.</t>
        </is>
      </c>
      <c r="J72" s="35" t="inlineStr">
        <is>
          <t>Check the file exists on the live server.</t>
        </is>
      </c>
      <c r="K72" s="35" t="inlineStr">
        <is>
          <t>Website Settings</t>
        </is>
      </c>
      <c r="L72" s="34" t="inlineStr">
        <is>
          <t>21 Oct 2026</t>
        </is>
      </c>
    </row>
    <row r="73">
      <c r="A73" s="33" t="inlineStr">
        <is>
          <t>HR-55</t>
        </is>
      </c>
      <c r="B73" s="34" t="inlineStr">
        <is>
          <t>Data</t>
        </is>
      </c>
      <c r="C73" s="35" t="inlineStr">
        <is>
          <t>Link the 216 existing Instructors to Employees</t>
        </is>
      </c>
      <c r="D73" s="34" t="inlineStr">
        <is>
          <t>—</t>
        </is>
      </c>
      <c r="E73" s="34" t="inlineStr">
        <is>
          <t>Pending – data / setup</t>
        </is>
      </c>
      <c r="F73" s="34" t="inlineStr">
        <is>
          <t>HR</t>
        </is>
      </c>
      <c r="G73" s="34" t="inlineStr">
        <is>
          <t>HR</t>
        </is>
      </c>
      <c r="H73" s="34" t="inlineStr">
        <is>
          <t>High</t>
        </is>
      </c>
      <c r="I73" s="35" t="inlineStr">
        <is>
          <t>Tool ready (HR-35). 1 of 216 linked.</t>
        </is>
      </c>
      <c r="J73" s="35" t="inlineStr">
        <is>
          <t>HR fills the Instructor data sheet; run the import with commit.</t>
        </is>
      </c>
      <c r="K73" s="35" t="inlineStr">
        <is>
          <t>instructor_data_sheet.py</t>
        </is>
      </c>
      <c r="L73" s="34" t="inlineStr">
        <is>
          <t>21 Oct 2026</t>
        </is>
      </c>
    </row>
    <row r="74">
      <c r="A74" s="33" t="inlineStr">
        <is>
          <t>HR-56</t>
        </is>
      </c>
      <c r="B74" s="34" t="inlineStr">
        <is>
          <t>Academic presence</t>
        </is>
      </c>
      <c r="C74" s="35" t="inlineStr">
        <is>
          <t>Connect attendance devices</t>
        </is>
      </c>
      <c r="D74" s="34" t="inlineStr">
        <is>
          <t>—</t>
        </is>
      </c>
      <c r="E74" s="34" t="inlineStr">
        <is>
          <t>Pending – data / setup</t>
        </is>
      </c>
      <c r="F74" s="34" t="inlineStr">
        <is>
          <t>HR + IT</t>
        </is>
      </c>
      <c r="G74" s="34" t="inlineStr">
        <is>
          <t>HR + IT</t>
        </is>
      </c>
      <c r="H74" s="34" t="inlineStr">
        <is>
          <t>Medium</t>
        </is>
      </c>
      <c r="I74" s="35" t="inlineStr">
        <is>
          <t>Presence page already uses device check-ins when they exist (HRMS Employee Checkin).</t>
        </is>
      </c>
      <c r="J74" s="35" t="inlineStr">
        <is>
          <t>Connect devices; map device user IDs to Employees.</t>
        </is>
      </c>
      <c r="K74" s="35" t="inlineStr">
        <is>
          <t>bfac883</t>
        </is>
      </c>
      <c r="L74" s="34" t="inlineStr">
        <is>
          <t>21 Oct 2026</t>
        </is>
      </c>
    </row>
    <row r="75">
      <c r="A75" s="33" t="inlineStr">
        <is>
          <t>HR-57</t>
        </is>
      </c>
      <c r="B75" s="34" t="inlineStr">
        <is>
          <t>Academic presence</t>
        </is>
      </c>
      <c r="C75" s="35" t="inlineStr">
        <is>
          <t>Set the Academic Holiday List</t>
        </is>
      </c>
      <c r="D75" s="34" t="inlineStr">
        <is>
          <t>—</t>
        </is>
      </c>
      <c r="E75" s="34" t="inlineStr">
        <is>
          <t>Pending – data / setup</t>
        </is>
      </c>
      <c r="F75" s="34" t="inlineStr">
        <is>
          <t>HR</t>
        </is>
      </c>
      <c r="G75" s="34" t="inlineStr">
        <is>
          <t>HR</t>
        </is>
      </c>
      <c r="H75" s="34" t="inlineStr">
        <is>
          <t>Medium</t>
        </is>
      </c>
      <c r="I75" s="35" t="inlineStr">
        <is>
          <t>Not set; the page warns about it.</t>
        </is>
      </c>
      <c r="J75" s="35" t="inlineStr">
        <is>
          <t>HR Settings -&gt; Academic Holiday List; tick event types that suspend classes.</t>
        </is>
      </c>
      <c r="K75" s="35" t="inlineStr">
        <is>
          <t>academic_presence_setup.py</t>
        </is>
      </c>
      <c r="L75" s="34" t="inlineStr">
        <is>
          <t>21 Oct 2026</t>
        </is>
      </c>
    </row>
    <row r="76">
      <c r="A76" s="33" t="inlineStr">
        <is>
          <t>HR-58</t>
        </is>
      </c>
      <c r="B76" s="34" t="inlineStr">
        <is>
          <t>Deployment</t>
        </is>
      </c>
      <c r="C76" s="35" t="inlineStr">
        <is>
          <t>Deploy to the live server</t>
        </is>
      </c>
      <c r="D76" s="34" t="inlineStr">
        <is>
          <t>—</t>
        </is>
      </c>
      <c r="E76" s="34" t="inlineStr">
        <is>
          <t>Pending – data / setup</t>
        </is>
      </c>
      <c r="F76" s="34" t="inlineStr">
        <is>
          <t>Abdul Hakeem + Server admin</t>
        </is>
      </c>
      <c r="G76" s="34" t="inlineStr">
        <is>
          <t>Abdul Hakeem</t>
        </is>
      </c>
      <c r="H76" s="34" t="inlineStr">
        <is>
          <t>High</t>
        </is>
      </c>
      <c r="I76"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6" s="35" t="inlineStr">
        <is>
          <t>On the server: check out develop, bench migrate, build, restart; smoke-test with the Test Cases workbook (Checklist CL-01 - CL-05).</t>
        </is>
      </c>
      <c r="K76" s="35" t="inlineStr">
        <is>
          <t>GitHub phpdevpro/edu-alriyada-hrm</t>
        </is>
      </c>
      <c r="L76" s="34" t="inlineStr">
        <is>
          <t>23 Oct 2026</t>
        </is>
      </c>
    </row>
    <row r="77">
      <c r="A77" s="33" t="inlineStr">
        <is>
          <t>JM-01</t>
        </is>
      </c>
      <c r="B77" s="34" t="inlineStr">
        <is>
          <t>Jameah</t>
        </is>
      </c>
      <c r="C77" s="35" t="inlineStr">
        <is>
          <t>Research: Jameah system, Ministry documents, view contract</t>
        </is>
      </c>
      <c r="D77" s="34" t="inlineStr">
        <is>
          <t>19 Oct 2026</t>
        </is>
      </c>
      <c r="E77" s="34" t="inlineStr">
        <is>
          <t>Done</t>
        </is>
      </c>
      <c r="F77" s="34" t="inlineStr">
        <is>
          <t>Abdul Hakeem</t>
        </is>
      </c>
      <c r="G77" s="34" t="inlineStr">
        <is>
          <t>Abdul Hakeem</t>
        </is>
      </c>
      <c r="H77" s="34" t="inlineStr">
        <is>
          <t>High</t>
        </is>
      </c>
      <c r="I77" s="35" t="inlineStr">
        <is>
          <t>Ministry schema V0.1, field mapping HTML, 'Views Data' PDF and code workbooks reviewed; findings shared.</t>
        </is>
      </c>
      <c r="J77" s="35" t="inlineStr">
        <is>
          <t>None.</t>
        </is>
      </c>
      <c r="K77" s="35" t="inlineStr">
        <is>
          <t>Jameah report</t>
        </is>
      </c>
      <c r="L77" s="34" t="inlineStr">
        <is>
          <t>21 Oct 2026</t>
        </is>
      </c>
    </row>
    <row r="78">
      <c r="A78" s="33" t="inlineStr">
        <is>
          <t>JM-02</t>
        </is>
      </c>
      <c r="B78" s="34" t="inlineStr">
        <is>
          <t>Jameah</t>
        </is>
      </c>
      <c r="C78" s="35" t="inlineStr">
        <is>
          <t>Ministry views for Employees (5) and Students (10)</t>
        </is>
      </c>
      <c r="D78" s="34" t="inlineStr">
        <is>
          <t>20 Oct 2026</t>
        </is>
      </c>
      <c r="E78" s="34" t="inlineStr">
        <is>
          <t>Done</t>
        </is>
      </c>
      <c r="F78" s="34" t="inlineStr">
        <is>
          <t>Abdul Hakeem</t>
        </is>
      </c>
      <c r="G78" s="34" t="inlineStr">
        <is>
          <t>Abdul Hakeem</t>
        </is>
      </c>
      <c r="H78" s="34" t="inlineStr">
        <is>
          <t>Critical</t>
        </is>
      </c>
      <c r="I78" s="35" t="inlineStr">
        <is>
          <t>15 views with the HTML column names; Ministry codes only; faculty excluded from Employee views; source records never changed.</t>
        </is>
      </c>
      <c r="J78" s="35" t="inlineStr">
        <is>
          <t>Deploy (HR-58).</t>
        </is>
      </c>
      <c r="K78" s="35" t="inlineStr">
        <is>
          <t>d690cb7; jameah/views.py; jameah/VIEWS.md</t>
        </is>
      </c>
      <c r="L78" s="34" t="inlineStr">
        <is>
          <t>21 Oct 2026</t>
        </is>
      </c>
    </row>
    <row r="79">
      <c r="A79" s="33" t="inlineStr">
        <is>
          <t>JM-03</t>
        </is>
      </c>
      <c r="B79" s="34" t="inlineStr">
        <is>
          <t>Jameah</t>
        </is>
      </c>
      <c r="C79" s="35" t="inlineStr">
        <is>
          <t>Code crosswalk (Jameah Code Map)</t>
        </is>
      </c>
      <c r="D79" s="34" t="inlineStr">
        <is>
          <t>20 Oct 2026</t>
        </is>
      </c>
      <c r="E79" s="34" t="inlineStr">
        <is>
          <t>Done</t>
        </is>
      </c>
      <c r="F79" s="34" t="inlineStr">
        <is>
          <t>Abdul Hakeem</t>
        </is>
      </c>
      <c r="G79" s="34" t="inlineStr">
        <is>
          <t>Abdul Hakeem</t>
        </is>
      </c>
      <c r="H79" s="34" t="inlineStr">
        <is>
          <t>High</t>
        </is>
      </c>
      <c r="I79" s="35" t="inlineStr">
        <is>
          <t>299 college values mapped to official codes by meaning; wrong codes in the college master lists (City 90, REL001...) no longer reach the Ministry.</t>
        </is>
      </c>
      <c r="J79" s="35" t="inlineStr">
        <is>
          <t>Review 3 values (JM-11).</t>
        </is>
      </c>
      <c r="K79" s="35" t="inlineStr">
        <is>
          <t>jameah/code_map.py</t>
        </is>
      </c>
      <c r="L79" s="34" t="inlineStr">
        <is>
          <t>23 Oct 2026</t>
        </is>
      </c>
    </row>
    <row r="80">
      <c r="A80" s="33" t="inlineStr">
        <is>
          <t>JM-04</t>
        </is>
      </c>
      <c r="B80" s="34" t="inlineStr">
        <is>
          <t>Jameah</t>
        </is>
      </c>
      <c r="C80" s="35" t="inlineStr">
        <is>
          <t>Jameah Settings</t>
        </is>
      </c>
      <c r="D80" s="34" t="inlineStr">
        <is>
          <t>20 Oct 2026</t>
        </is>
      </c>
      <c r="E80" s="34" t="inlineStr">
        <is>
          <t>Done</t>
        </is>
      </c>
      <c r="F80" s="34" t="inlineStr">
        <is>
          <t>Abdul Hakeem</t>
        </is>
      </c>
      <c r="G80" s="34" t="inlineStr">
        <is>
          <t>Abdul Hakeem</t>
        </is>
      </c>
      <c r="H80" s="34" t="inlineStr">
        <is>
          <t>High</t>
        </is>
      </c>
      <c r="I80" s="35" t="inlineStr">
        <is>
          <t>Institution values; P18, country 101 and GPA type pre-filled.</t>
        </is>
      </c>
      <c r="J80" s="35" t="inlineStr">
        <is>
          <t>Fill 6 values (JM-10).</t>
        </is>
      </c>
      <c r="K80" s="35" t="inlineStr">
        <is>
          <t>Jameah Settings</t>
        </is>
      </c>
      <c r="L80" s="34" t="inlineStr">
        <is>
          <t>21 Oct 2026</t>
        </is>
      </c>
    </row>
    <row r="81">
      <c r="A81" s="33" t="inlineStr">
        <is>
          <t>JM-05</t>
        </is>
      </c>
      <c r="B81" s="34" t="inlineStr">
        <is>
          <t>Jameah</t>
        </is>
      </c>
      <c r="C81" s="35" t="inlineStr">
        <is>
          <t>Academic figures (GPA, credit hours) refreshed hourly</t>
        </is>
      </c>
      <c r="D81" s="34" t="inlineStr">
        <is>
          <t>20 Oct 2026</t>
        </is>
      </c>
      <c r="E81" s="34" t="inlineStr">
        <is>
          <t>Done</t>
        </is>
      </c>
      <c r="F81" s="34" t="inlineStr">
        <is>
          <t>Abdul Hakeem</t>
        </is>
      </c>
      <c r="G81" s="34" t="inlineStr">
        <is>
          <t>Abdul Hakeem</t>
        </is>
      </c>
      <c r="H81" s="34" t="inlineStr">
        <is>
          <t>High</t>
        </is>
      </c>
      <c r="I81" s="35" t="inlineStr">
        <is>
          <t>Follows the transcript; view answers in ~3 s instead of 30 s. 22 Oct: only one rebuild runs at a time, so a migrate no longer fails when it overlaps the hourly refresh (B-43).</t>
        </is>
      </c>
      <c r="J81" s="35" t="inlineStr">
        <is>
          <t>None.</t>
        </is>
      </c>
      <c r="K81" s="35" t="inlineStr">
        <is>
          <t>jameah/summary.py</t>
        </is>
      </c>
      <c r="L81" s="34" t="inlineStr">
        <is>
          <t>22 Oct 2026</t>
        </is>
      </c>
    </row>
    <row r="82">
      <c r="A82" s="33" t="inlineStr">
        <is>
          <t>JM-06</t>
        </is>
      </c>
      <c r="B82" s="34" t="inlineStr">
        <is>
          <t>Jameah</t>
        </is>
      </c>
      <c r="C82" s="35" t="inlineStr">
        <is>
          <t>Independent verification of every view</t>
        </is>
      </c>
      <c r="D82" s="34" t="inlineStr">
        <is>
          <t>20 Oct 2026</t>
        </is>
      </c>
      <c r="E82" s="34" t="inlineStr">
        <is>
          <t>Done</t>
        </is>
      </c>
      <c r="F82" s="34" t="inlineStr">
        <is>
          <t>Abdul Hakeem</t>
        </is>
      </c>
      <c r="G82" s="34" t="inlineStr">
        <is>
          <t>Abdul Hakeem</t>
        </is>
      </c>
      <c r="H82" s="34" t="inlineStr">
        <is>
          <t>Critical</t>
        </is>
      </c>
      <c r="I82" s="35" t="inlineStr">
        <is>
          <t>All views match the source records value by value; 0 invalid codes. Re-run 21 Oct after the GPA update (JM-18) and with the Faculty views (JM-14): all 23 OK.</t>
        </is>
      </c>
      <c r="J82" s="35" t="inlineStr">
        <is>
          <t>Re-run after data changes: bench execute medical_hrms.jameah.verify.run</t>
        </is>
      </c>
      <c r="K82" s="35" t="inlineStr">
        <is>
          <t>jameah/verify.py; test_jameah.py</t>
        </is>
      </c>
      <c r="L82" s="34" t="inlineStr">
        <is>
          <t>23 Oct 2026</t>
        </is>
      </c>
    </row>
    <row r="83">
      <c r="A83" s="33" t="inlineStr">
        <is>
          <t>JM-18</t>
        </is>
      </c>
      <c r="B83" s="34" t="inlineStr">
        <is>
          <t>Jameah</t>
        </is>
      </c>
      <c r="C83" s="35" t="inlineStr">
        <is>
          <t>Ministry GPA and credit hours = the college's official figures</t>
        </is>
      </c>
      <c r="D83" s="34" t="inlineStr">
        <is>
          <t>21 Oct 2026</t>
        </is>
      </c>
      <c r="E83" s="34" t="inlineStr">
        <is>
          <t>Done</t>
        </is>
      </c>
      <c r="F83" s="34" t="inlineStr">
        <is>
          <t>Abdul Hakeem</t>
        </is>
      </c>
      <c r="G83" s="34" t="inlineStr">
        <is>
          <t>Abdul Hakeem</t>
        </is>
      </c>
      <c r="H83" s="34" t="inlineStr">
        <is>
          <t>Critical</t>
        </is>
      </c>
      <c r="I83"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3" s="35" t="inlineStr">
        <is>
          <t>Deploy together with the education app's master update (HR-58); re-run verify on the live server.</t>
        </is>
      </c>
      <c r="K83" s="35" t="inlineStr">
        <is>
          <t>jameah/summary.py; jameah/verify.py</t>
        </is>
      </c>
      <c r="L83" s="34" t="inlineStr">
        <is>
          <t>23 Oct 2026</t>
        </is>
      </c>
    </row>
    <row r="84">
      <c r="A84" s="33" t="inlineStr">
        <is>
          <t>JM-19</t>
        </is>
      </c>
      <c r="B84" s="34" t="inlineStr">
        <is>
          <t>Jameah</t>
        </is>
      </c>
      <c r="C84" s="35" t="inlineStr">
        <is>
          <t>Hourly academic summary refresh slows the site while it runs</t>
        </is>
      </c>
      <c r="D84" s="34" t="inlineStr">
        <is>
          <t>—</t>
        </is>
      </c>
      <c r="E84" s="34" t="inlineStr">
        <is>
          <t>Planned</t>
        </is>
      </c>
      <c r="F84" s="34" t="inlineStr">
        <is>
          <t>Abdul Hakeem + Server admin</t>
        </is>
      </c>
      <c r="G84" s="34" t="inlineStr">
        <is>
          <t>Abdul Hakeem</t>
        </is>
      </c>
      <c r="H84" s="34" t="inlineStr">
        <is>
          <t>Medium</t>
        </is>
      </c>
      <c r="I84"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4" s="35" t="inlineStr">
        <is>
          <t>Check page speed on the live server at the top of the hour. If it is noticeable: refresh every few hours or at night, or only students whose marks changed.</t>
        </is>
      </c>
      <c r="K84" s="35" t="inlineStr">
        <is>
          <t>jameah/summary.py; hooks.py hourly_long</t>
        </is>
      </c>
      <c r="L84" s="34" t="inlineStr">
        <is>
          <t>22 Oct 2026</t>
        </is>
      </c>
    </row>
    <row r="85">
      <c r="A85" s="33" t="inlineStr">
        <is>
          <t>JM-07</t>
        </is>
      </c>
      <c r="B85" s="34" t="inlineStr">
        <is>
          <t>Jameah</t>
        </is>
      </c>
      <c r="C85" s="35" t="inlineStr">
        <is>
          <t>Jameah Data Check page and Employee preview</t>
        </is>
      </c>
      <c r="D85" s="34" t="inlineStr">
        <is>
          <t>20 Oct 2026</t>
        </is>
      </c>
      <c r="E85" s="34" t="inlineStr">
        <is>
          <t>Done</t>
        </is>
      </c>
      <c r="F85" s="34" t="inlineStr">
        <is>
          <t>Abdul Hakeem</t>
        </is>
      </c>
      <c r="G85" s="34" t="inlineStr">
        <is>
          <t>Abdul Hakeem</t>
        </is>
      </c>
      <c r="H85" s="34" t="inlineStr">
        <is>
          <t>High</t>
        </is>
      </c>
      <c r="I85" s="35" t="inlineStr">
        <is>
          <t>HR sees gaps, invalid codes, settings to fill and source problems; 'Ministry (Jameah) Data' button on the Employee form.</t>
        </is>
      </c>
      <c r="J85" s="35" t="inlineStr">
        <is>
          <t>None.</t>
        </is>
      </c>
      <c r="K85" s="35" t="inlineStr">
        <is>
          <t>page/jameah_data_check</t>
        </is>
      </c>
      <c r="L85" s="34" t="inlineStr">
        <is>
          <t>21 Oct 2026</t>
        </is>
      </c>
    </row>
    <row r="86">
      <c r="A86" s="33" t="inlineStr">
        <is>
          <t>JM-08</t>
        </is>
      </c>
      <c r="B86" s="34" t="inlineStr">
        <is>
          <t>Jameah</t>
        </is>
      </c>
      <c r="C86" s="35" t="inlineStr">
        <is>
          <t>Read-only database account for the Ministry agent</t>
        </is>
      </c>
      <c r="D86" s="34" t="inlineStr">
        <is>
          <t>—</t>
        </is>
      </c>
      <c r="E86" s="34" t="inlineStr">
        <is>
          <t>Pending – data / setup</t>
        </is>
      </c>
      <c r="F86" s="34" t="inlineStr">
        <is>
          <t>Server admin</t>
        </is>
      </c>
      <c r="G86" s="34" t="inlineStr">
        <is>
          <t>Server admin</t>
        </is>
      </c>
      <c r="H86" s="34" t="inlineStr">
        <is>
          <t>High</t>
        </is>
      </c>
      <c r="I86" s="35" t="inlineStr">
        <is>
          <t>SQL generated by medical_hrms.jameah.views.grant_statements.</t>
        </is>
      </c>
      <c r="J86" s="35" t="inlineStr">
        <is>
          <t>Create the account on the live server; give the Ministry host, port, database, user, password.</t>
        </is>
      </c>
      <c r="K86" s="35" t="inlineStr">
        <is>
          <t>jameah/README.md</t>
        </is>
      </c>
      <c r="L86" s="34" t="inlineStr">
        <is>
          <t>21 Oct 2026</t>
        </is>
      </c>
    </row>
    <row r="87">
      <c r="A87" s="33" t="inlineStr">
        <is>
          <t>JM-09</t>
        </is>
      </c>
      <c r="B87" s="34" t="inlineStr">
        <is>
          <t>Jameah</t>
        </is>
      </c>
      <c r="C87" s="35" t="inlineStr">
        <is>
          <t>Confirm view and column names with the Ministry</t>
        </is>
      </c>
      <c r="D87" s="34" t="inlineStr">
        <is>
          <t>—</t>
        </is>
      </c>
      <c r="E87" s="34" t="inlineStr">
        <is>
          <t>Pending – decision needed</t>
        </is>
      </c>
      <c r="F87" s="34" t="inlineStr">
        <is>
          <t>Ministry contact (Ms. Najah)</t>
        </is>
      </c>
      <c r="G87" s="34" t="inlineStr">
        <is>
          <t>Ministry contact (Ms. Najah)</t>
        </is>
      </c>
      <c r="H87" s="34" t="inlineStr">
        <is>
          <t>Critical</t>
        </is>
      </c>
      <c r="I87" s="35" t="inlineStr">
        <is>
          <t>Views use the HTML names; Ministry schema V0.1 names some columns differently (list in the Jameah report).</t>
        </is>
      </c>
      <c r="J87" s="35" t="inlineStr">
        <is>
          <t>Ask which names the Jameah agent reads; renaming is a small change.</t>
        </is>
      </c>
      <c r="K87" s="35" t="inlineStr">
        <is>
          <t>Jameah report</t>
        </is>
      </c>
      <c r="L87" s="34" t="inlineStr">
        <is>
          <t>21 Oct 2026</t>
        </is>
      </c>
    </row>
    <row r="88">
      <c r="A88" s="33" t="inlineStr">
        <is>
          <t>JM-10</t>
        </is>
      </c>
      <c r="B88" s="34" t="inlineStr">
        <is>
          <t>Jameah</t>
        </is>
      </c>
      <c r="C88" s="35" t="inlineStr">
        <is>
          <t>Fill Jameah Settings (6 values)</t>
        </is>
      </c>
      <c r="D88" s="34" t="inlineStr">
        <is>
          <t>—</t>
        </is>
      </c>
      <c r="E88" s="34" t="inlineStr">
        <is>
          <t>Pending – decision needed</t>
        </is>
      </c>
      <c r="F88" s="34" t="inlineStr">
        <is>
          <t>Academic Affairs</t>
        </is>
      </c>
      <c r="G88" s="34" t="inlineStr">
        <is>
          <t>Academic Affairs</t>
        </is>
      </c>
      <c r="H88" s="34" t="inlineStr">
        <is>
          <t>High</t>
        </is>
      </c>
      <c r="I88" s="35" t="inlineStr">
        <is>
          <t>Empty values are sent as empty.</t>
        </is>
      </c>
      <c r="J88" s="35" t="inlineStr">
        <is>
          <t>College code, campus city, study type (regular/bridging), program duration and unit.</t>
        </is>
      </c>
      <c r="K88" s="35" t="inlineStr">
        <is>
          <t>/app/jameah-settings</t>
        </is>
      </c>
      <c r="L88" s="34" t="inlineStr">
        <is>
          <t>21 Oct 2026</t>
        </is>
      </c>
    </row>
    <row r="89">
      <c r="A89" s="33" t="inlineStr">
        <is>
          <t>JM-11</t>
        </is>
      </c>
      <c r="B89" s="34" t="inlineStr">
        <is>
          <t>Jameah</t>
        </is>
      </c>
      <c r="C89" s="35" t="inlineStr">
        <is>
          <t>Map 3 college values to Ministry codes</t>
        </is>
      </c>
      <c r="D89" s="34" t="inlineStr">
        <is>
          <t>—</t>
        </is>
      </c>
      <c r="E89" s="34" t="inlineStr">
        <is>
          <t>Pending – decision needed</t>
        </is>
      </c>
      <c r="F89" s="34" t="inlineStr">
        <is>
          <t>Academic Affairs</t>
        </is>
      </c>
      <c r="G89" s="34" t="inlineStr">
        <is>
          <t>Academic Affairs</t>
        </is>
      </c>
      <c r="H89" s="34" t="inlineStr">
        <is>
          <t>High</t>
        </is>
      </c>
      <c r="I89" s="35" t="inlineStr">
        <is>
          <t>Program 'Bachelor of Science in Nursing' -&gt; department; Major 'Sciences in Nursing'; status 'Internship' (238 students).</t>
        </is>
      </c>
      <c r="J89" s="35" t="inlineStr">
        <is>
          <t>Pick the code in Jameah Code Map and set Verified.</t>
        </is>
      </c>
      <c r="K89" s="35" t="inlineStr">
        <is>
          <t>/app/jameah-code-map</t>
        </is>
      </c>
      <c r="L89" s="34" t="inlineStr">
        <is>
          <t>21 Oct 2026</t>
        </is>
      </c>
    </row>
    <row r="90">
      <c r="A90" s="33" t="inlineStr">
        <is>
          <t>JM-12</t>
        </is>
      </c>
      <c r="B90" s="34" t="inlineStr">
        <is>
          <t>Jameah</t>
        </is>
      </c>
      <c r="C90" s="35" t="inlineStr">
        <is>
          <t>Ministry fields with no source in the college system</t>
        </is>
      </c>
      <c r="D90" s="34" t="inlineStr">
        <is>
          <t>—</t>
        </is>
      </c>
      <c r="E90" s="34" t="inlineStr">
        <is>
          <t>Pending – decision needed</t>
        </is>
      </c>
      <c r="F90" s="34" t="inlineStr">
        <is>
          <t>Academic Affairs + Abdul Hakeem</t>
        </is>
      </c>
      <c r="G90" s="34" t="inlineStr">
        <is>
          <t>Abdul Hakeem</t>
        </is>
      </c>
      <c r="H90" s="34" t="inlineStr">
        <is>
          <t>Medium</t>
        </is>
      </c>
      <c r="I90"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90" s="35" t="inlineStr">
        <is>
          <t>Decide which to capture (Student Ministry Detail is filled for 1,256 of 3,357 students).</t>
        </is>
      </c>
      <c r="K90" s="35" t="inlineStr">
        <is>
          <t>Jameah report; VIEWS.md</t>
        </is>
      </c>
      <c r="L90" s="34" t="inlineStr">
        <is>
          <t>23 Oct 2026</t>
        </is>
      </c>
    </row>
    <row r="91">
      <c r="A91" s="33" t="inlineStr">
        <is>
          <t>JM-13</t>
        </is>
      </c>
      <c r="B91" s="34" t="inlineStr">
        <is>
          <t>Jameah</t>
        </is>
      </c>
      <c r="C91" s="35" t="inlineStr">
        <is>
          <t>Correct source data found by the checks</t>
        </is>
      </c>
      <c r="D91" s="34" t="inlineStr">
        <is>
          <t>—</t>
        </is>
      </c>
      <c r="E91" s="34" t="inlineStr">
        <is>
          <t>Pending – data / setup</t>
        </is>
      </c>
      <c r="F91" s="34" t="inlineStr">
        <is>
          <t>Registrar</t>
        </is>
      </c>
      <c r="G91" s="34" t="inlineStr">
        <is>
          <t>Registrar</t>
        </is>
      </c>
      <c r="H91" s="34" t="inlineStr">
        <is>
          <t>High</t>
        </is>
      </c>
      <c r="I91" s="35" t="inlineStr">
        <is>
          <t>1,067 graduates still 'Enrolled'; 1,378 students on plans with no total credits; 1,266 relative addresses in Sri Lanka; 240 placeholder birth dates; 39 graduates without a graduate document; 7 enrollments without date; 6 orphan rows.</t>
        </is>
      </c>
      <c r="J91" s="35" t="inlineStr">
        <is>
          <t>Fix at the source; the Jameah Data Check page shows the counts.</t>
        </is>
      </c>
      <c r="K91" s="35" t="inlineStr">
        <is>
          <t>/app/jameah-data-check</t>
        </is>
      </c>
      <c r="L91" s="34" t="inlineStr">
        <is>
          <t>23 Oct 2026</t>
        </is>
      </c>
    </row>
    <row r="92">
      <c r="A92" s="33" t="inlineStr">
        <is>
          <t>JM-14</t>
        </is>
      </c>
      <c r="B92" s="34" t="inlineStr">
        <is>
          <t>Jameah</t>
        </is>
      </c>
      <c r="C92" s="35" t="inlineStr">
        <is>
          <t>Faculty views (8 sections)</t>
        </is>
      </c>
      <c r="D92" s="34" t="inlineStr">
        <is>
          <t>21 Oct 2026</t>
        </is>
      </c>
      <c r="E92" s="34" t="inlineStr">
        <is>
          <t>Done</t>
        </is>
      </c>
      <c r="F92" s="34" t="inlineStr">
        <is>
          <t>Abdul Hakeem</t>
        </is>
      </c>
      <c r="G92" s="34" t="inlineStr">
        <is>
          <t>Abdul Hakeem</t>
        </is>
      </c>
      <c r="H92" s="34" t="inlineStr">
        <is>
          <t>High</t>
        </is>
      </c>
      <c r="I92"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2" s="35" t="inlineStr">
        <is>
          <t>Academic Affairs: DEC-12, DEC-13; Ministry: DEC-01.</t>
        </is>
      </c>
      <c r="K92" s="35" t="inlineStr">
        <is>
          <t>jameah/views.py faculty_views; verify.py; VIEWS.md</t>
        </is>
      </c>
      <c r="L92" s="34" t="inlineStr">
        <is>
          <t>21 Oct 2026</t>
        </is>
      </c>
    </row>
    <row r="93">
      <c r="A93" s="33" t="inlineStr">
        <is>
          <t>JM-15</t>
        </is>
      </c>
      <c r="B93" s="34" t="inlineStr">
        <is>
          <t>Jameah</t>
        </is>
      </c>
      <c r="C93" s="35" t="inlineStr">
        <is>
          <t>Institute views (20 sections)</t>
        </is>
      </c>
      <c r="D93" s="34" t="inlineStr">
        <is>
          <t>—</t>
        </is>
      </c>
      <c r="E93" s="34" t="inlineStr">
        <is>
          <t>Pending – development</t>
        </is>
      </c>
      <c r="F93" s="34" t="inlineStr">
        <is>
          <t>Abdul Hakeem</t>
        </is>
      </c>
      <c r="G93" s="34" t="inlineStr">
        <is>
          <t>Abdul Hakeem</t>
        </is>
      </c>
      <c r="H93" s="34" t="inlineStr">
        <is>
          <t>Medium</t>
        </is>
      </c>
      <c r="I93" s="35" t="inlineStr">
        <is>
          <t>Not started.</t>
        </is>
      </c>
      <c r="J93" s="35" t="inlineStr">
        <is>
          <t>Build after Faculty; needs institute data from HR.</t>
        </is>
      </c>
      <c r="K93" s="35" t="inlineStr">
        <is>
          <t>MINISTRY_FIELD_MAPPING.html</t>
        </is>
      </c>
      <c r="L93" s="34" t="inlineStr">
        <is>
          <t>21 Oct 2026</t>
        </is>
      </c>
    </row>
    <row r="94">
      <c r="A94" s="33" t="inlineStr">
        <is>
          <t>JM-16</t>
        </is>
      </c>
      <c r="B94" s="34" t="inlineStr">
        <is>
          <t>Jameah</t>
        </is>
      </c>
      <c r="C94" s="35" t="inlineStr">
        <is>
          <t>Old viewJameah* views (42, earlier version)</t>
        </is>
      </c>
      <c r="D94" s="34" t="inlineStr">
        <is>
          <t>—</t>
        </is>
      </c>
      <c r="E94" s="34" t="inlineStr">
        <is>
          <t>Pending – decision needed</t>
        </is>
      </c>
      <c r="F94" s="34" t="inlineStr">
        <is>
          <t>Abdul Hakeem</t>
        </is>
      </c>
      <c r="G94" s="34" t="inlineStr">
        <is>
          <t>Abdul Hakeem</t>
        </is>
      </c>
      <c r="H94" s="34" t="inlineStr">
        <is>
          <t>Low</t>
        </is>
      </c>
      <c r="I94" s="35" t="inlineStr">
        <is>
          <t>Left untouched; they send record names and NULLs in places. Ours are named jameah*.</t>
        </is>
      </c>
      <c r="J94" s="35" t="inlineStr">
        <is>
          <t>When the Ministry confirms our jameah* views (JM-09), decide whether the old viewJameah* views are dropped.</t>
        </is>
      </c>
      <c r="K94" s="35" t="inlineStr">
        <is>
          <t>jameah_system (old views)</t>
        </is>
      </c>
      <c r="L94" s="34" t="inlineStr">
        <is>
          <t>23 Oct 2026</t>
        </is>
      </c>
    </row>
    <row r="95">
      <c r="A95" s="33" t="inlineStr">
        <is>
          <t>JM-17</t>
        </is>
      </c>
      <c r="B95" s="34" t="inlineStr">
        <is>
          <t>Jameah</t>
        </is>
      </c>
      <c r="C95" s="35" t="inlineStr">
        <is>
          <t>Transcript GPA rounding at exact ties</t>
        </is>
      </c>
      <c r="D95" s="34" t="inlineStr">
        <is>
          <t>21 Oct 2026</t>
        </is>
      </c>
      <c r="E95" s="34" t="inlineStr">
        <is>
          <t>Done</t>
        </is>
      </c>
      <c r="F95" s="34" t="inlineStr">
        <is>
          <t>Abdul Hakeem</t>
        </is>
      </c>
      <c r="G95" s="34" t="inlineStr">
        <is>
          <t>Abdul Hakeem</t>
        </is>
      </c>
      <c r="H95" s="34" t="inlineStr">
        <is>
          <t>Low</t>
        </is>
      </c>
      <c r="I95" s="35" t="inlineStr">
        <is>
          <t>Resolved by the college's official GPA calculation (exact half-up rounding); the Ministry views use it (JM-18).</t>
        </is>
      </c>
      <c r="J95" s="35" t="inlineStr">
        <is>
          <t>None.</t>
        </is>
      </c>
      <c r="K95" s="35" t="inlineStr">
        <is>
          <t>Jameah report</t>
        </is>
      </c>
      <c r="L95" s="34" t="inlineStr">
        <is>
          <t>23 Oct 2026</t>
        </is>
      </c>
    </row>
  </sheetData>
  <autoFilter ref="A1:L95"/>
  <conditionalFormatting sqref="E2:E295">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5">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5"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5" showDropDown="0" showInputMessage="0" showErrorMessage="0" allowBlank="1" type="list">
      <formula1>"Critical,High,Medium,Low"</formula1>
    </dataValidation>
    <dataValidation sqref="G2:G295" showDropDown="0" showInputMessage="0" showErrorMessage="0" allowBlank="1" type="list">
      <formula1>"Abdul Hakeem,Fathir,Dinesh,Testing team,To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B-54</t>
        </is>
      </c>
      <c r="B51" s="34" t="inlineStr">
        <is>
          <t>23 Oct 2026</t>
        </is>
      </c>
      <c r="C51" s="34" t="inlineStr">
        <is>
          <t>Remote Work Request</t>
        </is>
      </c>
      <c r="D51" s="35" t="inlineStr">
        <is>
          <t>Duration (Days) always showed 0</t>
        </is>
      </c>
      <c r="E51" s="35" t="inlineStr">
        <is>
          <t>Read-only field that nothing calculated</t>
        </is>
      </c>
      <c r="F51" s="35" t="inlineStr">
        <is>
          <t>Counted on save: working days as the monthly work-from-home limit counts them (calendar days when HR has no holiday list for the dates); a patch fills in the requests already saved</t>
        </is>
      </c>
      <c r="G51" s="34" t="inlineStr">
        <is>
          <t>HR-74</t>
        </is>
      </c>
      <c r="H51" s="34" t="inlineStr">
        <is>
          <t>Fixed</t>
        </is>
      </c>
      <c r="I51" s="35" t="inlineStr">
        <is>
          <t>Unit tests; E2E ESS-06</t>
        </is>
      </c>
      <c r="J51" s="34" t="inlineStr">
        <is>
          <t>23 Oct 2026</t>
        </is>
      </c>
    </row>
    <row r="52">
      <c r="A52" s="34" t="inlineStr">
        <is>
          <t>B-55</t>
        </is>
      </c>
      <c r="B52" s="34" t="inlineStr">
        <is>
          <t>23 Oct 2026</t>
        </is>
      </c>
      <c r="C52" s="34" t="inlineStr">
        <is>
          <t>Permission Request</t>
        </is>
      </c>
      <c r="D52" s="35" t="inlineStr">
        <is>
          <t>Duration (Hours) always showed 0, and a To Time before the From Time was accepted</t>
        </is>
      </c>
      <c r="E52" s="35" t="inlineStr">
        <is>
          <t>Read-only field that nothing calculated; no time check</t>
        </is>
      </c>
      <c r="F52" s="35" t="inlineStr">
        <is>
          <t>Hours counted on save; To Time must be after From Time; a patch fills in the requests already saved</t>
        </is>
      </c>
      <c r="G52" s="34" t="inlineStr">
        <is>
          <t>HR-74</t>
        </is>
      </c>
      <c r="H52" s="34" t="inlineStr">
        <is>
          <t>Fixed</t>
        </is>
      </c>
      <c r="I52" s="35" t="inlineStr">
        <is>
          <t>Unit tests; E2E ESS-04</t>
        </is>
      </c>
      <c r="J52" s="34" t="inlineStr">
        <is>
          <t>23 Oct 2026</t>
        </is>
      </c>
    </row>
    <row r="53">
      <c r="A53" s="34" t="inlineStr">
        <is>
          <t>B-28</t>
        </is>
      </c>
      <c r="B53" s="34" t="inlineStr">
        <is>
          <t>21 Oct 2026</t>
        </is>
      </c>
      <c r="C53" s="34" t="inlineStr">
        <is>
          <t>Navigation</t>
        </is>
      </c>
      <c r="D53" s="35" t="inlineStr">
        <is>
          <t>Employees clicking the 'Medical HRMS' breadcrumb got 'Not permitted - No permission for Page'</t>
        </is>
      </c>
      <c r="E53" s="35" t="inlineStr">
        <is>
          <t>Frappe chooses the breadcrumb workspace without a permission check</t>
        </is>
      </c>
      <c r="F53" s="35" t="inlineStr">
        <is>
          <t>Keep only workspaces the user can open</t>
        </is>
      </c>
      <c r="G53" s="34" t="inlineStr">
        <is>
          <t>HR-59</t>
        </is>
      </c>
      <c r="H53" s="34" t="inlineStr">
        <is>
          <t>Fixed</t>
        </is>
      </c>
      <c r="I53" s="35" t="inlineStr">
        <is>
          <t>E2E NAV-01/02</t>
        </is>
      </c>
      <c r="J53" s="34" t="inlineStr">
        <is>
          <t>21 Oct 2026</t>
        </is>
      </c>
    </row>
    <row r="54">
      <c r="A54" s="34" t="inlineStr">
        <is>
          <t>B-25</t>
        </is>
      </c>
      <c r="B54" s="34" t="inlineStr">
        <is>
          <t>21 Oct 2026</t>
        </is>
      </c>
      <c r="C54" s="34" t="inlineStr">
        <is>
          <t>E-mail</t>
        </is>
      </c>
      <c r="D54" s="35" t="inlineStr">
        <is>
          <t>System e-mails fail: password cannot be decrypted</t>
        </is>
      </c>
      <c r="E54" s="35" t="inlineStr">
        <is>
          <t>Email Account 'Notifications' password encrypted with another key</t>
        </is>
      </c>
      <c r="F54" s="35" t="inlineStr">
        <is>
          <t>Re-enter the password on the server</t>
        </is>
      </c>
      <c r="G54" s="34" t="inlineStr">
        <is>
          <t>HR-47</t>
        </is>
      </c>
      <c r="H54" s="34" t="inlineStr">
        <is>
          <t>Open</t>
        </is>
      </c>
      <c r="I54" s="35" t="inlineStr">
        <is>
          <t>Error Log</t>
        </is>
      </c>
      <c r="J54" s="34" t="inlineStr">
        <is>
          <t>21 Oct 2026</t>
        </is>
      </c>
    </row>
    <row r="55">
      <c r="A55" s="34" t="inlineStr">
        <is>
          <t>B-26</t>
        </is>
      </c>
      <c r="B55" s="34" t="inlineStr">
        <is>
          <t>21 Oct 2026</t>
        </is>
      </c>
      <c r="C55" s="34" t="inlineStr">
        <is>
          <t>Instructor form</t>
        </is>
      </c>
      <c r="D55" s="35" t="inlineStr">
        <is>
          <t>Linking an Employee in the Instructor form fails</t>
        </is>
      </c>
      <c r="E55" s="35" t="inlineStr">
        <is>
          <t>The form copies Ministry codes into lists that expect other values</t>
        </is>
      </c>
      <c r="F55" s="35" t="inlineStr">
        <is>
          <t>Fix from Medical HRMS (HR-48)</t>
        </is>
      </c>
      <c r="G55" s="34" t="inlineStr">
        <is>
          <t>HR-48</t>
        </is>
      </c>
      <c r="H55" s="34" t="inlineStr">
        <is>
          <t>Open</t>
        </is>
      </c>
      <c r="I55" s="35" t="inlineStr">
        <is>
          <t>Reproduced 21 Oct</t>
        </is>
      </c>
      <c r="J55" s="34" t="inlineStr">
        <is>
          <t>23 Oct 2026</t>
        </is>
      </c>
    </row>
    <row r="56">
      <c r="A56" s="34" t="inlineStr">
        <is>
          <t>B-27</t>
        </is>
      </c>
      <c r="B56" s="34" t="inlineStr">
        <is>
          <t>21 Oct 2026</t>
        </is>
      </c>
      <c r="C56" s="34" t="inlineStr">
        <is>
          <t>Website</t>
        </is>
      </c>
      <c r="D56" s="35" t="inlineStr">
        <is>
          <t>Logo file missing (/files/rchs-logo.png)</t>
        </is>
      </c>
      <c r="E56" s="35" t="inlineStr">
        <is>
          <t>File not on this copy</t>
        </is>
      </c>
      <c r="F56" s="35" t="inlineStr">
        <is>
          <t>Check on the live server</t>
        </is>
      </c>
      <c r="G56" s="34" t="inlineStr">
        <is>
          <t>HR-54</t>
        </is>
      </c>
      <c r="H56" s="34" t="inlineStr">
        <is>
          <t>Open – check server</t>
        </is>
      </c>
      <c r="I56" s="35" t="inlineStr">
        <is>
          <t>Error sweep</t>
        </is>
      </c>
      <c r="J56" s="34" t="inlineStr">
        <is>
          <t>21 Oct 2026</t>
        </is>
      </c>
    </row>
  </sheetData>
  <autoFilter ref="A1:J56"/>
  <conditionalFormatting sqref="H2:H156">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6"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row r="16">
      <c r="A16" s="34" t="inlineStr">
        <is>
          <t>DEC-15</t>
        </is>
      </c>
      <c r="B16" s="35" t="inlineStr">
        <is>
          <t>Students on Campus: keep one-hour slots (as built, 7:00-22:00) or count by the college's own teaching periods? The client's request says 'during each period'.</t>
        </is>
      </c>
      <c r="C16" s="34" t="inlineStr">
        <is>
          <t>HR (client)</t>
        </is>
      </c>
      <c r="D16" s="35" t="inlineStr">
        <is>
          <t>Review at the progress meeting; periods would need their start and end times.</t>
        </is>
      </c>
      <c r="E16" s="34" t="inlineStr">
        <is>
          <t>HR-38</t>
        </is>
      </c>
      <c r="F16" s="36" t="inlineStr"/>
      <c r="G16" s="37" t="inlineStr"/>
      <c r="H16" s="34" t="inlineStr">
        <is>
          <t>23 Oct 2026</t>
        </is>
      </c>
    </row>
  </sheetData>
  <autoFilter ref="A1:H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27 Oct 2026</t>
        </is>
      </c>
      <c r="B2" s="34" t="inlineStr">
        <is>
          <t>Testing</t>
        </is>
      </c>
      <c r="C2" s="35" t="inlineStr">
        <is>
          <t>HR-75, CL-23, CL-37</t>
        </is>
      </c>
      <c r="D2" s="35"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2" s="34" t="inlineStr">
        <is>
          <t>Abdul Hakeem</t>
        </is>
      </c>
    </row>
    <row r="3">
      <c r="A3" s="34" t="inlineStr">
        <is>
          <t>23 Oct 2026</t>
        </is>
      </c>
      <c r="B3" s="34" t="inlineStr">
        <is>
          <t>Documentation</t>
        </is>
      </c>
      <c r="C3" s="35" t="inlineStr">
        <is>
          <t>HR-37, HR-38, DEC-15, CL-38</t>
        </is>
      </c>
      <c r="D3" s="35"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3" s="34" t="inlineStr">
        <is>
          <t>Abdul Hakeem</t>
        </is>
      </c>
    </row>
    <row r="4">
      <c r="A4" s="34" t="inlineStr">
        <is>
          <t>23 Oct 2026</t>
        </is>
      </c>
      <c r="B4" s="34" t="inlineStr">
        <is>
          <t>Documentation</t>
        </is>
      </c>
      <c r="C4" s="35" t="inlineStr">
        <is>
          <t>HR-74, B-54, B-55, TC-ESS-02, TC-ESS-04, TC-ESS-16, CL-37</t>
        </is>
      </c>
      <c r="D4" s="35"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4" s="34" t="inlineStr">
        <is>
          <t>Abdul Hakeem</t>
        </is>
      </c>
    </row>
    <row r="5">
      <c r="A5" s="34" t="inlineStr">
        <is>
          <t>23 Oct 2026</t>
        </is>
      </c>
      <c r="B5" s="34" t="inlineStr">
        <is>
          <t>Project tracking</t>
        </is>
      </c>
      <c r="C5" s="35" t="inlineStr">
        <is>
          <t>All tasks; HR-04 - HR-06, HR-11, HR-12, HR-28 - HR-30, HR-48, HR-66, HR-70, HR-71, HR-73, JM-03, JM-06, JM-12, JM-13, JM-16, JM-17, B-26, B-34, CL-35</t>
        </is>
      </c>
      <c r="D5"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5" s="34" t="inlineStr">
        <is>
          <t>Abdul Hakeem</t>
        </is>
      </c>
    </row>
    <row r="6">
      <c r="A6" s="34" t="inlineStr">
        <is>
          <t>23 Oct 2026</t>
        </is>
      </c>
      <c r="B6" s="34" t="inlineStr">
        <is>
          <t>Project tracking</t>
        </is>
      </c>
      <c r="C6" s="35" t="inlineStr">
        <is>
          <t>HR-72, B-52, B-53</t>
        </is>
      </c>
      <c r="D6" s="35" t="inlineStr">
        <is>
          <t>The three check scripts (files, site, server methods) now record their result in the Test Cases workbook (Last automated run: Pass, 23 Oct). The file check found a missing import in the site check; fixed.</t>
        </is>
      </c>
      <c r="E6" s="34" t="inlineStr">
        <is>
          <t>Abdul Hakeem</t>
        </is>
      </c>
    </row>
    <row r="7">
      <c r="A7" s="34" t="inlineStr">
        <is>
          <t>23 Oct 2026</t>
        </is>
      </c>
      <c r="B7" s="34" t="inlineStr">
        <is>
          <t>Medical HRMS</t>
        </is>
      </c>
      <c r="C7" s="35" t="inlineStr">
        <is>
          <t>HR-58, HR-69, HR-71 - HR-73, B-45 - B-51, CL-01, CL-30, CL-34 - CL-36, TC-ERR-06 - TC-ERR-09, TC-SEC-10</t>
        </is>
      </c>
      <c r="D7"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7" s="34" t="inlineStr">
        <is>
          <t>Abdul Hakeem</t>
        </is>
      </c>
    </row>
    <row r="8">
      <c r="A8" s="34" t="inlineStr">
        <is>
          <t>22 Oct 2026</t>
        </is>
      </c>
      <c r="B8" s="34" t="inlineStr">
        <is>
          <t>Medical HRMS</t>
        </is>
      </c>
      <c r="C8" s="35" t="inlineStr">
        <is>
          <t>HR-58, HR-70, JM-05, JM-19, B-42 – B-44, TC-REC-13, TC-REC-14</t>
        </is>
      </c>
      <c r="D8"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8" s="34" t="inlineStr">
        <is>
          <t>Abdul Hakeem</t>
        </is>
      </c>
    </row>
    <row r="9">
      <c r="A9" s="34" t="inlineStr">
        <is>
          <t>22 Oct 2026</t>
        </is>
      </c>
      <c r="B9" s="34" t="inlineStr">
        <is>
          <t>Medical HRMS</t>
        </is>
      </c>
      <c r="C9" s="35" t="inlineStr">
        <is>
          <t>HR-08, HR-09, HR-19, HR-20, HR-22, HR-68, HR-69, B-36 – B-40, DEC-14, CL-28 – CL-33</t>
        </is>
      </c>
      <c r="D9"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9" s="34" t="inlineStr">
        <is>
          <t>Abdul Hakeem</t>
        </is>
      </c>
    </row>
    <row r="10">
      <c r="A10" s="34" t="inlineStr">
        <is>
          <t>22 Oct 2026</t>
        </is>
      </c>
      <c r="B10" s="34" t="inlineStr">
        <is>
          <t>Testing</t>
        </is>
      </c>
      <c r="C10" s="35" t="inlineStr">
        <is>
          <t>HR-67, B-41</t>
        </is>
      </c>
      <c r="D10"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0" s="34" t="inlineStr">
        <is>
          <t>Abdul Hakeem</t>
        </is>
      </c>
    </row>
    <row r="11">
      <c r="A11" s="34" t="inlineStr">
        <is>
          <t>21 Oct 2026</t>
        </is>
      </c>
      <c r="B11" s="34" t="inlineStr">
        <is>
          <t>Medical HRMS + Jameah</t>
        </is>
      </c>
      <c r="C11" s="35" t="inlineStr">
        <is>
          <t>HR-49, HR-50, HR-51, HR-65, JM-14, B-35, DEC-12, DEC-13</t>
        </is>
      </c>
      <c r="D11"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1" s="34" t="inlineStr">
        <is>
          <t>Abdul Hakeem</t>
        </is>
      </c>
    </row>
    <row r="12">
      <c r="A12" s="34" t="inlineStr">
        <is>
          <t>21 Oct 2026</t>
        </is>
      </c>
      <c r="B12" s="34" t="inlineStr">
        <is>
          <t>Medical HRMS</t>
        </is>
      </c>
      <c r="C12" s="35" t="inlineStr">
        <is>
          <t>HR-66</t>
        </is>
      </c>
      <c r="D12" s="35" t="inlineStr">
        <is>
          <t>HR Portal and Employee Portal in the new college portal design (menu, top bar, EN/AR, dark mode); Arabic translations for these pages.</t>
        </is>
      </c>
      <c r="E12" s="34" t="inlineStr">
        <is>
          <t>Abdul Hakeem</t>
        </is>
      </c>
    </row>
    <row r="13">
      <c r="A13" s="34" t="inlineStr">
        <is>
          <t>21 Oct 2026</t>
        </is>
      </c>
      <c r="B13" s="34" t="inlineStr">
        <is>
          <t>Medical HRMS + Jameah</t>
        </is>
      </c>
      <c r="C13" s="35" t="inlineStr">
        <is>
          <t>HR-12, HR-31, HR-32, HR-45, HR-46, HR-59 – HR-64, JM-17, JM-18, B-24 – B-34</t>
        </is>
      </c>
      <c r="D13"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3" s="34" t="inlineStr">
        <is>
          <t>Abdul Hakeem</t>
        </is>
      </c>
    </row>
    <row r="14">
      <c r="A14" s="34" t="inlineStr">
        <is>
          <t>20 Oct 2026</t>
        </is>
      </c>
      <c r="B14" s="34" t="inlineStr">
        <is>
          <t>Medical HRMS + Jameah</t>
        </is>
      </c>
      <c r="C14" s="35" t="inlineStr">
        <is>
          <t>HR-07 – HR-09, HR-13 – HR-15, HR-19, HR-22, HR-26, HR-36 – HR-44, JM-02 – JM-07, B-12 – B-23</t>
        </is>
      </c>
      <c r="D14" s="35" t="inlineStr">
        <is>
          <t>Jameah Employee (5) and Student (10) views built and verified value by value; Academic Presence; browser test round 2 fixes.</t>
        </is>
      </c>
      <c r="E14" s="34" t="inlineStr">
        <is>
          <t>Abdul Hakeem</t>
        </is>
      </c>
    </row>
    <row r="15">
      <c r="A15" s="34" t="inlineStr">
        <is>
          <t>19 Oct 2026</t>
        </is>
      </c>
      <c r="B15" s="34" t="inlineStr">
        <is>
          <t>Medical HRMS + Jameah</t>
        </is>
      </c>
      <c r="C15" s="35" t="inlineStr">
        <is>
          <t>HR-02, HR-05, HR-06, HR-24, HR-27, HR-33 – HR-35, JM-01, B-01 – B-11</t>
        </is>
      </c>
      <c r="D15" s="35" t="inlineStr">
        <is>
          <t>Browser end-to-end test round 1 and fixes (approvals, recruitment security, Ministry identity rules); Instructor data sheet; Jameah research.</t>
        </is>
      </c>
      <c r="E15" s="34" t="inlineStr">
        <is>
          <t>Abdul Hakeem</t>
        </is>
      </c>
    </row>
    <row r="16">
      <c r="A16" s="34" t="inlineStr">
        <is>
          <t>1 Oct 2026</t>
        </is>
      </c>
      <c r="B16" s="34" t="inlineStr">
        <is>
          <t>Medical HRMS</t>
        </is>
      </c>
      <c r="C16" s="35" t="inlineStr">
        <is>
          <t>HR-01 – HR-32</t>
        </is>
      </c>
      <c r="D16" s="35" t="inlineStr">
        <is>
          <t>First HRM task tracker (HRM_TASK_TRACKER.md / .csv).</t>
        </is>
      </c>
      <c r="E16" s="34" t="inlineStr">
        <is>
          <t>Team</t>
        </is>
      </c>
    </row>
  </sheetData>
  <autoFilter ref="A1:E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2026-10-27T05:13:55Z</dcterms:created>
  <dcterms:modified xsi:type="dcterms:W3CDTF">2026-10-27T05:13:55Z</dcterms:modified>
</cp:coreProperties>
</file>