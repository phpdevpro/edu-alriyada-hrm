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ummary" sheetId="2" state="visible" r:id="rId2"/>
    <sheet name="Tasks" sheetId="3" state="visible" r:id="rId3"/>
    <sheet name="Bugs" sheetId="4" state="visible" r:id="rId4"/>
    <sheet name="Decisions" sheetId="5" state="visible" r:id="rId5"/>
    <sheet name="Change Log" sheetId="6" state="visible" r:id="rId6"/>
  </sheets>
  <definedNames>
    <definedName name="_xlnm._FilterDatabase" localSheetId="2" hidden="1">'Tasks'!$A$1:$L$94</definedName>
    <definedName name="_xlnm._FilterDatabase" localSheetId="3" hidden="1">'Bugs'!$A$1:$J$56</definedName>
    <definedName name="_xlnm._FilterDatabase" localSheetId="4" hidden="1">'Decisions'!$A$1:$H$16</definedName>
    <definedName name="_xlnm._FilterDatabase" localSheetId="5" hidden="1">'Change Log'!$A$1:$E$15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D6B4F"/>
      <sz val="18"/>
    </font>
    <font>
      <name val="Arial"/>
      <color rgb="005D6B66"/>
      <sz val="11"/>
    </font>
    <font>
      <name val="Arial"/>
      <b val="1"/>
      <color rgb="001F2A27"/>
      <sz val="12"/>
    </font>
    <font>
      <name val="Arial"/>
      <color rgb="001F2A27"/>
      <sz val="10"/>
    </font>
    <font>
      <name val="Arial"/>
      <b val="1"/>
      <color rgb="001F2A27"/>
      <sz val="10"/>
    </font>
    <font>
      <name val="Arial"/>
      <b val="1"/>
      <color rgb="00FFFFFF"/>
      <sz val="10"/>
    </font>
    <font>
      <name val="Arial"/>
      <b val="1"/>
      <color rgb="000D6B4F"/>
      <sz val="16"/>
    </font>
    <font>
      <name val="Arial"/>
      <color rgb="005D6B66"/>
      <sz val="10"/>
    </font>
    <font>
      <name val="Arial"/>
      <b val="1"/>
      <sz val="10"/>
    </font>
  </fonts>
  <fills count="17">
    <fill>
      <patternFill/>
    </fill>
    <fill>
      <patternFill patternType="gray125"/>
    </fill>
    <fill>
      <patternFill patternType="solid">
        <fgColor rgb="002E7D32"/>
      </patternFill>
    </fill>
    <fill>
      <patternFill patternType="solid">
        <fgColor rgb="0000897B"/>
      </patternFill>
    </fill>
    <fill>
      <patternFill patternType="solid">
        <fgColor rgb="001565C0"/>
      </patternFill>
    </fill>
    <fill>
      <patternFill patternType="solid">
        <fgColor rgb="00EF6C00"/>
      </patternFill>
    </fill>
    <fill>
      <patternFill patternType="solid">
        <fgColor rgb="00F9A825"/>
      </patternFill>
    </fill>
    <fill>
      <patternFill patternType="solid">
        <fgColor rgb="006A1B9A"/>
      </patternFill>
    </fill>
    <fill>
      <patternFill patternType="solid">
        <fgColor rgb="00757575"/>
      </patternFill>
    </fill>
    <fill>
      <patternFill patternType="solid">
        <fgColor rgb="00B0BEC5"/>
      </patternFill>
    </fill>
    <fill>
      <patternFill patternType="solid">
        <fgColor rgb="00B71C1C"/>
      </patternFill>
    </fill>
    <fill>
      <patternFill patternType="solid">
        <fgColor rgb="00E64A19"/>
      </patternFill>
    </fill>
    <fill>
      <patternFill patternType="solid">
        <fgColor rgb="00FBC02D"/>
      </patternFill>
    </fill>
    <fill>
      <patternFill patternType="solid">
        <fgColor rgb="0090A4AE"/>
      </patternFill>
    </fill>
    <fill>
      <patternFill patternType="solid">
        <fgColor rgb="000D6B4F"/>
      </patternFill>
    </fill>
    <fill>
      <patternFill patternType="solid">
        <fgColor rgb="00FFF7D6"/>
      </patternFill>
    </fill>
    <fill>
      <patternFill patternType="solid">
        <fgColor rgb="00C62828"/>
      </patternFill>
    </fill>
  </fills>
  <borders count="2">
    <border>
      <left/>
      <right/>
      <top/>
      <bottom/>
      <diagonal/>
    </border>
    <border>
      <left style="thin">
        <color rgb="00D5DDDA"/>
      </left>
      <right style="thin">
        <color rgb="00D5DDDA"/>
      </right>
      <top style="thin">
        <color rgb="00D5DDDA"/>
      </top>
      <bottom style="thin">
        <color rgb="00D5DDDA"/>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applyAlignment="1" pivotButton="0" quotePrefix="0" xfId="0">
      <alignment wrapText="1"/>
    </xf>
    <xf numFmtId="0" fontId="6" fillId="2" borderId="0" pivotButton="0" quotePrefix="0" xfId="0"/>
    <xf numFmtId="0" fontId="6" fillId="3" borderId="0" pivotButton="0" quotePrefix="0" xfId="0"/>
    <xf numFmtId="0" fontId="6" fillId="4" borderId="0" pivotButton="0" quotePrefix="0" xfId="0"/>
    <xf numFmtId="0" fontId="6" fillId="5" borderId="0" pivotButton="0" quotePrefix="0" xfId="0"/>
    <xf numFmtId="0" fontId="5" fillId="6" borderId="0" pivotButton="0" quotePrefix="0" xfId="0"/>
    <xf numFmtId="0" fontId="6" fillId="7" borderId="0" pivotButton="0" quotePrefix="0" xfId="0"/>
    <xf numFmtId="0" fontId="6" fillId="8" borderId="0" pivotButton="0" quotePrefix="0" xfId="0"/>
    <xf numFmtId="0" fontId="5" fillId="9" borderId="0" pivotButton="0" quotePrefix="0" xfId="0"/>
    <xf numFmtId="0" fontId="6" fillId="10" borderId="0" pivotButton="0" quotePrefix="0" xfId="0"/>
    <xf numFmtId="0" fontId="6" fillId="11" borderId="0" pivotButton="0" quotePrefix="0" xfId="0"/>
    <xf numFmtId="0" fontId="5" fillId="12" borderId="0" pivotButton="0" quotePrefix="0" xfId="0"/>
    <xf numFmtId="0" fontId="5" fillId="13" borderId="0" pivotButton="0" quotePrefix="0" xfId="0"/>
    <xf numFmtId="0" fontId="7" fillId="0" borderId="0" pivotButton="0" quotePrefix="0" xfId="0"/>
    <xf numFmtId="0" fontId="8" fillId="0" borderId="0" pivotButton="0" quotePrefix="0" xfId="0"/>
    <xf numFmtId="0" fontId="6" fillId="14" borderId="1" applyAlignment="1" pivotButton="0" quotePrefix="0" xfId="0">
      <alignment vertical="center" wrapText="1"/>
    </xf>
    <xf numFmtId="0" fontId="5" fillId="2" borderId="1" pivotButton="0" quotePrefix="0" xfId="0"/>
    <xf numFmtId="0" fontId="4" fillId="0" borderId="1" pivotButton="0" quotePrefix="0" xfId="0"/>
    <xf numFmtId="0" fontId="5" fillId="3" borderId="1" pivotButton="0" quotePrefix="0" xfId="0"/>
    <xf numFmtId="0" fontId="5" fillId="4" borderId="1" pivotButton="0" quotePrefix="0" xfId="0"/>
    <xf numFmtId="0" fontId="5" fillId="5" borderId="1" pivotButton="0" quotePrefix="0" xfId="0"/>
    <xf numFmtId="0" fontId="5" fillId="6" borderId="1" pivotButton="0" quotePrefix="0" xfId="0"/>
    <xf numFmtId="0" fontId="5" fillId="7" borderId="1" pivotButton="0" quotePrefix="0" xfId="0"/>
    <xf numFmtId="0" fontId="5" fillId="8" borderId="1" pivotButton="0" quotePrefix="0" xfId="0"/>
    <xf numFmtId="0" fontId="5" fillId="9" borderId="1" pivotButton="0" quotePrefix="0" xfId="0"/>
    <xf numFmtId="0" fontId="5" fillId="0" borderId="1" pivotButton="0" quotePrefix="0" xfId="0"/>
    <xf numFmtId="0" fontId="5" fillId="16" borderId="1" pivotButton="0" quotePrefix="0" xfId="0"/>
    <xf numFmtId="0" fontId="5" fillId="0" borderId="1" applyAlignment="1" pivotButton="0" quotePrefix="0" xfId="0">
      <alignment vertical="top"/>
    </xf>
    <xf numFmtId="0" fontId="4" fillId="0" borderId="1" applyAlignment="1" pivotButton="0" quotePrefix="0" xfId="0">
      <alignment vertical="top"/>
    </xf>
    <xf numFmtId="0" fontId="4" fillId="0" borderId="1" applyAlignment="1" pivotButton="0" quotePrefix="0" xfId="0">
      <alignment vertical="top" wrapText="1"/>
    </xf>
    <xf numFmtId="0" fontId="4" fillId="15" borderId="1" applyAlignment="1" pivotButton="0" quotePrefix="0" xfId="0">
      <alignment vertical="top" wrapText="1"/>
    </xf>
    <xf numFmtId="0" fontId="4" fillId="15" borderId="1" applyAlignment="1" pivotButton="0" quotePrefix="0" xfId="0">
      <alignment vertical="top"/>
    </xf>
  </cellXfs>
  <cellStyles count="1">
    <cellStyle name="Normal" xfId="0" builtinId="0" hidden="0"/>
  </cellStyles>
  <dxfs count="13">
    <dxf>
      <font>
        <b val="1"/>
        <color rgb="00FFFFFF"/>
      </font>
      <fill>
        <patternFill patternType="solid">
          <fgColor rgb="002E7D32"/>
          <bgColor rgb="002E7D32"/>
        </patternFill>
      </fill>
    </dxf>
    <dxf>
      <font>
        <b val="1"/>
        <color rgb="00FFFFFF"/>
      </font>
      <fill>
        <patternFill patternType="solid">
          <fgColor rgb="0000897B"/>
          <bgColor rgb="0000897B"/>
        </patternFill>
      </fill>
    </dxf>
    <dxf>
      <font>
        <b val="1"/>
        <color rgb="00FFFFFF"/>
      </font>
      <fill>
        <patternFill patternType="solid">
          <fgColor rgb="001565C0"/>
          <bgColor rgb="001565C0"/>
        </patternFill>
      </fill>
    </dxf>
    <dxf>
      <font>
        <b val="1"/>
        <color rgb="00FFFFFF"/>
      </font>
      <fill>
        <patternFill patternType="solid">
          <fgColor rgb="00EF6C00"/>
          <bgColor rgb="00EF6C00"/>
        </patternFill>
      </fill>
    </dxf>
    <dxf>
      <font>
        <b val="1"/>
        <color rgb="001F2A27"/>
      </font>
      <fill>
        <patternFill patternType="solid">
          <fgColor rgb="00F9A825"/>
          <bgColor rgb="00F9A825"/>
        </patternFill>
      </fill>
    </dxf>
    <dxf>
      <font>
        <b val="1"/>
        <color rgb="00FFFFFF"/>
      </font>
      <fill>
        <patternFill patternType="solid">
          <fgColor rgb="006A1B9A"/>
          <bgColor rgb="006A1B9A"/>
        </patternFill>
      </fill>
    </dxf>
    <dxf>
      <font>
        <b val="1"/>
        <color rgb="00FFFFFF"/>
      </font>
      <fill>
        <patternFill patternType="solid">
          <fgColor rgb="00757575"/>
          <bgColor rgb="00757575"/>
        </patternFill>
      </fill>
    </dxf>
    <dxf>
      <font>
        <b val="1"/>
        <color rgb="001F2A27"/>
      </font>
      <fill>
        <patternFill patternType="solid">
          <fgColor rgb="00B0BEC5"/>
          <bgColor rgb="00B0BEC5"/>
        </patternFill>
      </fill>
    </dxf>
    <dxf>
      <font>
        <b val="1"/>
        <color rgb="00FFFFFF"/>
      </font>
      <fill>
        <patternFill patternType="solid">
          <fgColor rgb="00B71C1C"/>
          <bgColor rgb="00B71C1C"/>
        </patternFill>
      </fill>
    </dxf>
    <dxf>
      <font>
        <b val="1"/>
        <color rgb="00FFFFFF"/>
      </font>
      <fill>
        <patternFill patternType="solid">
          <fgColor rgb="00E64A19"/>
          <bgColor rgb="00E64A19"/>
        </patternFill>
      </fill>
    </dxf>
    <dxf>
      <font>
        <b val="1"/>
        <color rgb="001F2A27"/>
      </font>
      <fill>
        <patternFill patternType="solid">
          <fgColor rgb="00FBC02D"/>
          <bgColor rgb="00FBC02D"/>
        </patternFill>
      </fill>
    </dxf>
    <dxf>
      <font>
        <b val="1"/>
        <color rgb="001F2A27"/>
      </font>
      <fill>
        <patternFill patternType="solid">
          <fgColor rgb="0090A4AE"/>
          <bgColor rgb="0090A4AE"/>
        </patternFill>
      </fill>
    </dxf>
    <dxf>
      <font>
        <b val="1"/>
        <color rgb="00FFFFFF"/>
      </font>
      <fill>
        <patternFill patternType="solid">
          <fgColor rgb="00C62828"/>
          <bgColor rgb="00C6282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7"/>
  <sheetViews>
    <sheetView showGridLines="0" workbookViewId="0">
      <selection activeCell="A1" sqref="A1"/>
    </sheetView>
  </sheetViews>
  <sheetFormatPr baseColWidth="8" defaultRowHeight="15"/>
  <cols>
    <col width="3" customWidth="1" min="1" max="1"/>
    <col width="34" customWidth="1" min="2" max="2"/>
    <col width="100" customWidth="1" min="3" max="3"/>
  </cols>
  <sheetData>
    <row r="1">
      <c r="B1" s="1" t="inlineStr">
        <is>
          <t>Medical HRMS &amp; Jameah — Task Tracker</t>
        </is>
      </c>
    </row>
    <row r="2">
      <c r="B2" s="2" t="inlineStr">
        <is>
          <t>Al-Riyada College for Health Sciences · last updated 23 Oct 2026</t>
        </is>
      </c>
    </row>
    <row r="4">
      <c r="B4" s="3" t="inlineStr">
        <is>
          <t>What this workbook is</t>
        </is>
      </c>
    </row>
    <row r="5" ht="30" customHeight="1">
      <c r="B5" s="4" t="inlineStr">
        <is>
          <t>One place to see what has been done on Medical HRMS (HR system) and Jameah (the Ministry data system), what is being done now, and what is still pending.</t>
        </is>
      </c>
    </row>
    <row r="6" ht="30" customHeight="1">
      <c r="B6" s="4" t="inlineStr">
        <is>
          <t>It continues the 1 Oct 2026 tracker (HRM_TASK_TRACKER.md / .csv): tasks HR-01 to HR-32 keep their IDs and are updated; HR-33 onwards and JM-01 onwards are new.</t>
        </is>
      </c>
    </row>
    <row r="8">
      <c r="B8" s="3" t="inlineStr">
        <is>
          <t>Sheets</t>
        </is>
      </c>
    </row>
    <row r="9">
      <c r="B9" s="5" t="inlineStr">
        <is>
          <t>Summary</t>
        </is>
      </c>
      <c r="C9" s="6" t="inlineStr">
        <is>
          <t>Counts by status, workstream and date. Updates by itself when you change a status in Tasks.</t>
        </is>
      </c>
    </row>
    <row r="10">
      <c r="B10" s="5" t="inlineStr">
        <is>
          <t>Tasks</t>
        </is>
      </c>
      <c r="C10" s="6" t="inlineStr">
        <is>
          <t>Every task: when it was done, status, owner (who leads it: Abdul Hakeem for all development), assigned to (who the task is given to), evidence and the next step. Filter on any column.</t>
        </is>
      </c>
    </row>
    <row r="11">
      <c r="B11" s="5" t="inlineStr">
        <is>
          <t>Bugs</t>
        </is>
      </c>
      <c r="C11" s="6" t="inlineStr">
        <is>
          <t>Every bug found during testing, its cause, the fix and how it was verified.</t>
        </is>
      </c>
    </row>
    <row r="12">
      <c r="B12" s="5" t="inlineStr">
        <is>
          <t>Decisions</t>
        </is>
      </c>
      <c r="C12" s="6" t="inlineStr">
        <is>
          <t>Questions only the college, the Ministry or another team can answer. Yellow columns are for the answer.</t>
        </is>
      </c>
    </row>
    <row r="13">
      <c r="B13" s="5" t="inlineStr">
        <is>
          <t>Change Log</t>
        </is>
      </c>
      <c r="C13" s="6" t="inlineStr">
        <is>
          <t>Every change, newest first, with its date and the items it touched.</t>
        </is>
      </c>
    </row>
    <row r="15">
      <c r="B15" s="3" t="inlineStr">
        <is>
          <t>Status values</t>
        </is>
      </c>
    </row>
    <row r="16">
      <c r="B16" s="7" t="inlineStr">
        <is>
          <t>Done</t>
        </is>
      </c>
      <c r="C16" s="6" t="inlineStr">
        <is>
          <t>Built and tested.</t>
        </is>
      </c>
    </row>
    <row r="17">
      <c r="B17" s="8" t="inlineStr">
        <is>
          <t>Done – client UAT pending</t>
        </is>
      </c>
      <c r="C17" s="6" t="inlineStr">
        <is>
          <t>Built and tested by the team; waiting for HR/client acceptance testing.</t>
        </is>
      </c>
    </row>
    <row r="18">
      <c r="B18" s="9" t="inlineStr">
        <is>
          <t>In progress</t>
        </is>
      </c>
      <c r="C18" s="6" t="inlineStr">
        <is>
          <t>Being worked on.</t>
        </is>
      </c>
    </row>
    <row r="19">
      <c r="B19" s="10" t="inlineStr">
        <is>
          <t>Pending – decision needed</t>
        </is>
      </c>
      <c r="C19" s="6" t="inlineStr">
        <is>
          <t>Waiting for an answer (see Decisions).</t>
        </is>
      </c>
    </row>
    <row r="20">
      <c r="B20" s="11" t="inlineStr">
        <is>
          <t>Pending – data / setup</t>
        </is>
      </c>
      <c r="C20" s="6" t="inlineStr">
        <is>
          <t>Code is ready; needs data entry or server setup.</t>
        </is>
      </c>
    </row>
    <row r="21">
      <c r="B21" s="12" t="inlineStr">
        <is>
          <t>Pending – development</t>
        </is>
      </c>
      <c r="C21" s="6" t="inlineStr">
        <is>
          <t>Not built yet.</t>
        </is>
      </c>
    </row>
    <row r="22">
      <c r="B22" s="13" t="inlineStr">
        <is>
          <t>Pending – other team</t>
        </is>
      </c>
      <c r="C22" s="6" t="inlineStr">
        <is>
          <t>Needs Finance, the server admin or another party outside the HRMS team.</t>
        </is>
      </c>
    </row>
    <row r="23">
      <c r="B23" s="14" t="inlineStr">
        <is>
          <t>Planned</t>
        </is>
      </c>
      <c r="C23" s="6" t="inlineStr">
        <is>
          <t>Agreed for later; not started.</t>
        </is>
      </c>
    </row>
    <row r="25">
      <c r="B25" s="3" t="inlineStr">
        <is>
          <t>Priority</t>
        </is>
      </c>
    </row>
    <row r="26">
      <c r="B26" s="15" t="inlineStr">
        <is>
          <t>Critical</t>
        </is>
      </c>
      <c r="C26" s="6" t="inlineStr">
        <is>
          <t>Blocks go-live or the Ministry data: do first.</t>
        </is>
      </c>
    </row>
    <row r="27">
      <c r="B27" s="16" t="inlineStr">
        <is>
          <t>High</t>
        </is>
      </c>
      <c r="C27" s="6" t="inlineStr">
        <is>
          <t>Needed for UAT / go-live.</t>
        </is>
      </c>
    </row>
    <row r="28">
      <c r="B28" s="17" t="inlineStr">
        <is>
          <t>Medium</t>
        </is>
      </c>
      <c r="C28" s="6" t="inlineStr">
        <is>
          <t>Needed; can follow go-live.</t>
        </is>
      </c>
    </row>
    <row r="29">
      <c r="B29" s="18" t="inlineStr">
        <is>
          <t>Low</t>
        </is>
      </c>
      <c r="C29" s="6" t="inlineStr">
        <is>
          <t>Tidy-up or nice to have.</t>
        </is>
      </c>
    </row>
    <row r="31">
      <c r="B31" s="3" t="inlineStr">
        <is>
          <t>How to update</t>
        </is>
      </c>
    </row>
    <row r="32" ht="30" customHeight="1">
      <c r="B32" s="4" t="inlineStr">
        <is>
          <t>Every change: update the row (status, evidence, next step) and its 'Last updated' date, and add a dated line to the Change Log. The same goes for the Checklist and the Test Cases workbook.</t>
        </is>
      </c>
    </row>
    <row r="33" ht="30" customHeight="1">
      <c r="B33" s="4" t="inlineStr">
        <is>
          <t>Developers: edit project_tracking/source/*.py (data, dates in row_dates.py, changelog.py) and run python3 project_tracking/source/build_all.py - all three workbooks are rebuilt.</t>
        </is>
      </c>
    </row>
    <row r="35">
      <c r="B35" s="3" t="inlineStr">
        <is>
          <t>Sources</t>
        </is>
      </c>
    </row>
    <row r="36" ht="30" customHeight="1">
      <c r="B36" s="4" t="inlineStr">
        <is>
          <t>HRM_TASK_TRACKER.md/.csv, HRM_UAT_SCENARIOS.md, HRM_APPROVAL_MATRIX.md, JAMEAH_HRMS_* documents, MINISTRY_FIELD_MAPPING.html, Ministry schema V0.1, git history of medical_hrms (phpdevpro/edu-alriyada-hrm), test runs of 19–21 Oct 2026.</t>
        </is>
      </c>
    </row>
    <row r="37" ht="30" customHeight="1">
      <c r="B37" s="4" t="inlineStr">
        <is>
          <t>Companion files in the same project_tracking folder: Medical_HRMS_Jameah_Checklist.xlsx (what is left to check or decide) and Medical_HRMS_Jameah_Test_Cases.xlsx (for the testing team).</t>
        </is>
      </c>
    </row>
  </sheetData>
  <mergeCells count="6">
    <mergeCell ref="B6:C6"/>
    <mergeCell ref="B33:C33"/>
    <mergeCell ref="B5:C5"/>
    <mergeCell ref="B37:C37"/>
    <mergeCell ref="B36:C36"/>
    <mergeCell ref="B32:C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9" t="inlineStr">
        <is>
          <t>Summary</t>
        </is>
      </c>
    </row>
    <row r="2">
      <c r="A2" s="20" t="inlineStr">
        <is>
          <t>Counts are formulas over the Tasks and Bugs sheets. As of 23 Oct 2026.</t>
        </is>
      </c>
    </row>
    <row r="4">
      <c r="A4" s="21" t="inlineStr">
        <is>
          <t>Tasks by status</t>
        </is>
      </c>
      <c r="B4" s="21" t="inlineStr">
        <is>
          <t>Tasks</t>
        </is>
      </c>
    </row>
    <row r="5">
      <c r="A5" s="22" t="inlineStr">
        <is>
          <t>Done</t>
        </is>
      </c>
      <c r="B5" s="23">
        <f>COUNTIF(Tasks!$E$2:$E$294,A5)</f>
        <v/>
      </c>
    </row>
    <row r="6">
      <c r="A6" s="24" t="inlineStr">
        <is>
          <t>Done – client UAT pending</t>
        </is>
      </c>
      <c r="B6" s="23">
        <f>COUNTIF(Tasks!$E$2:$E$294,A6)</f>
        <v/>
      </c>
    </row>
    <row r="7">
      <c r="A7" s="25" t="inlineStr">
        <is>
          <t>In progress</t>
        </is>
      </c>
      <c r="B7" s="23">
        <f>COUNTIF(Tasks!$E$2:$E$294,A7)</f>
        <v/>
      </c>
    </row>
    <row r="8">
      <c r="A8" s="26" t="inlineStr">
        <is>
          <t>Pending – decision needed</t>
        </is>
      </c>
      <c r="B8" s="23">
        <f>COUNTIF(Tasks!$E$2:$E$294,A8)</f>
        <v/>
      </c>
    </row>
    <row r="9">
      <c r="A9" s="27" t="inlineStr">
        <is>
          <t>Pending – data / setup</t>
        </is>
      </c>
      <c r="B9" s="23">
        <f>COUNTIF(Tasks!$E$2:$E$294,A9)</f>
        <v/>
      </c>
    </row>
    <row r="10">
      <c r="A10" s="28" t="inlineStr">
        <is>
          <t>Pending – development</t>
        </is>
      </c>
      <c r="B10" s="23">
        <f>COUNTIF(Tasks!$E$2:$E$294,A10)</f>
        <v/>
      </c>
    </row>
    <row r="11">
      <c r="A11" s="29" t="inlineStr">
        <is>
          <t>Pending – other team</t>
        </is>
      </c>
      <c r="B11" s="23">
        <f>COUNTIF(Tasks!$E$2:$E$294,A11)</f>
        <v/>
      </c>
    </row>
    <row r="12">
      <c r="A12" s="30" t="inlineStr">
        <is>
          <t>Planned</t>
        </is>
      </c>
      <c r="B12" s="23">
        <f>COUNTIF(Tasks!$E$2:$E$294,A12)</f>
        <v/>
      </c>
    </row>
    <row r="13">
      <c r="A13" s="31" t="inlineStr">
        <is>
          <t>Total tasks</t>
        </is>
      </c>
      <c r="B13" s="31">
        <f>SUM(B5:B12)</f>
        <v/>
      </c>
    </row>
    <row r="14"/>
    <row r="15">
      <c r="A15" s="21" t="inlineStr">
        <is>
          <t>Medical HRMS vs Jameah</t>
        </is>
      </c>
      <c r="B15" s="21" t="inlineStr">
        <is>
          <t>Done (both Done statuses)</t>
        </is>
      </c>
      <c r="C15" s="21" t="inlineStr">
        <is>
          <t>Open (everything else)</t>
        </is>
      </c>
      <c r="D15" s="21" t="inlineStr">
        <is>
          <t>Total</t>
        </is>
      </c>
    </row>
    <row r="16">
      <c r="A16" s="23" t="inlineStr">
        <is>
          <t>Medical HRMS (HR-…)</t>
        </is>
      </c>
      <c r="B16" s="23">
        <f>COUNTIFS(Tasks!$A$2:$A$294,"HR-*",Tasks!$E$2:$E$294,"Done")+COUNTIFS(Tasks!$A$2:$A$294,"HR-*",Tasks!$E$2:$E$294,"Done – client UAT pending")</f>
        <v/>
      </c>
      <c r="C16" s="23">
        <f>D16-B16</f>
        <v/>
      </c>
      <c r="D16" s="23">
        <f>COUNTIF(Tasks!$A$2:$A$294,"HR-*")</f>
        <v/>
      </c>
    </row>
    <row r="17">
      <c r="A17" s="23" t="inlineStr">
        <is>
          <t>Jameah (JM-…)</t>
        </is>
      </c>
      <c r="B17" s="23">
        <f>COUNTIFS(Tasks!$A$2:$A$294,"JM-*",Tasks!$E$2:$E$294,"Done")+COUNTIFS(Tasks!$A$2:$A$294,"JM-*",Tasks!$E$2:$E$294,"Done – client UAT pending")</f>
        <v/>
      </c>
      <c r="C17" s="23">
        <f>D17-B17</f>
        <v/>
      </c>
      <c r="D17" s="23">
        <f>COUNTIF(Tasks!$A$2:$A$294,"JM-*")</f>
        <v/>
      </c>
    </row>
    <row r="18"/>
    <row r="19">
      <c r="A19" s="21" t="inlineStr">
        <is>
          <t>Work done by date</t>
        </is>
      </c>
      <c r="B19" s="21" t="inlineStr">
        <is>
          <t>Tasks</t>
        </is>
      </c>
    </row>
    <row r="20">
      <c r="A20" s="23" t="inlineStr">
        <is>
          <t>Earlier (May – 5 Oct 2026)</t>
        </is>
      </c>
      <c r="B20" s="23">
        <f>COUNTIF(Tasks!$D$2:$D$294,"Earlier (May – 5 Oct 2026)")</f>
        <v/>
      </c>
    </row>
    <row r="21">
      <c r="A21" s="23" t="inlineStr">
        <is>
          <t>19 Oct 2026</t>
        </is>
      </c>
      <c r="B21" s="23">
        <f>COUNTIF(Tasks!$D$2:$D$294,"19 Oct 2026")</f>
        <v/>
      </c>
    </row>
    <row r="22">
      <c r="A22" s="23" t="inlineStr">
        <is>
          <t>20 Oct 2026</t>
        </is>
      </c>
      <c r="B22" s="23">
        <f>COUNTIF(Tasks!$D$2:$D$294,"20 Oct 2026")</f>
        <v/>
      </c>
    </row>
    <row r="23">
      <c r="A23" s="23" t="inlineStr">
        <is>
          <t>21 Oct 2026</t>
        </is>
      </c>
      <c r="B23" s="23">
        <f>COUNTIF(Tasks!$D$2:$D$294,"21 Oct 2026")</f>
        <v/>
      </c>
    </row>
    <row r="24">
      <c r="A24" s="23" t="inlineStr">
        <is>
          <t>22 Oct 2026</t>
        </is>
      </c>
      <c r="B24" s="23">
        <f>COUNTIF(Tasks!$D$2:$D$294,"22 Oct 2026")</f>
        <v/>
      </c>
    </row>
    <row r="25">
      <c r="A25" s="23" t="inlineStr">
        <is>
          <t>23 Oct 2026</t>
        </is>
      </c>
      <c r="B25" s="23">
        <f>COUNTIF(Tasks!$D$2:$D$294,"23 Oct 2026")</f>
        <v/>
      </c>
    </row>
    <row r="26">
      <c r="A26" s="23" t="inlineStr">
        <is>
          <t>— (not done yet)</t>
        </is>
      </c>
      <c r="B26" s="23">
        <f>COUNTIF(Tasks!$D$2:$D$294,"—")</f>
        <v/>
      </c>
    </row>
    <row r="27"/>
    <row r="28" ht="45" customHeight="1">
      <c r="A28" s="21" t="inlineStr">
        <is>
          <t>Workstream</t>
        </is>
      </c>
      <c r="B28" s="21" t="inlineStr">
        <is>
          <t>Done</t>
        </is>
      </c>
      <c r="C28" s="21" t="inlineStr">
        <is>
          <t>Done – client UAT pending</t>
        </is>
      </c>
      <c r="D28" s="21" t="inlineStr">
        <is>
          <t>In progress</t>
        </is>
      </c>
      <c r="E28" s="21" t="inlineStr">
        <is>
          <t>Pending – decision needed</t>
        </is>
      </c>
      <c r="F28" s="21" t="inlineStr">
        <is>
          <t>Pending – data / setup</t>
        </is>
      </c>
      <c r="G28" s="21" t="inlineStr">
        <is>
          <t>Pending – development</t>
        </is>
      </c>
      <c r="H28" s="21" t="inlineStr">
        <is>
          <t>Pending – other team</t>
        </is>
      </c>
      <c r="I28" s="21" t="inlineStr">
        <is>
          <t>Planned</t>
        </is>
      </c>
      <c r="J28" s="21" t="inlineStr">
        <is>
          <t>Total</t>
        </is>
      </c>
    </row>
    <row r="29">
      <c r="A29" s="23" t="inlineStr">
        <is>
          <t>Foundation</t>
        </is>
      </c>
      <c r="B29" s="23">
        <f>COUNTIFS(Tasks!$B$2:$B$294,$A29,Tasks!$E$2:$E$294,B$28)</f>
        <v/>
      </c>
      <c r="C29" s="23">
        <f>COUNTIFS(Tasks!$B$2:$B$294,$A29,Tasks!$E$2:$E$294,C$28)</f>
        <v/>
      </c>
      <c r="D29" s="23">
        <f>COUNTIFS(Tasks!$B$2:$B$294,$A29,Tasks!$E$2:$E$294,D$28)</f>
        <v/>
      </c>
      <c r="E29" s="23">
        <f>COUNTIFS(Tasks!$B$2:$B$294,$A29,Tasks!$E$2:$E$294,E$28)</f>
        <v/>
      </c>
      <c r="F29" s="23">
        <f>COUNTIFS(Tasks!$B$2:$B$294,$A29,Tasks!$E$2:$E$294,F$28)</f>
        <v/>
      </c>
      <c r="G29" s="23">
        <f>COUNTIFS(Tasks!$B$2:$B$294,$A29,Tasks!$E$2:$E$294,G$28)</f>
        <v/>
      </c>
      <c r="H29" s="23">
        <f>COUNTIFS(Tasks!$B$2:$B$294,$A29,Tasks!$E$2:$E$294,H$28)</f>
        <v/>
      </c>
      <c r="I29" s="23">
        <f>COUNTIFS(Tasks!$B$2:$B$294,$A29,Tasks!$E$2:$E$294,I$28)</f>
        <v/>
      </c>
      <c r="J29" s="23">
        <f>COUNTIF(Tasks!$B$2:$B$294,$A29)</f>
        <v/>
      </c>
    </row>
    <row r="30">
      <c r="A30" s="23" t="inlineStr">
        <is>
          <t>Master data</t>
        </is>
      </c>
      <c r="B30" s="23">
        <f>COUNTIFS(Tasks!$B$2:$B$294,$A30,Tasks!$E$2:$E$294,B$28)</f>
        <v/>
      </c>
      <c r="C30" s="23">
        <f>COUNTIFS(Tasks!$B$2:$B$294,$A30,Tasks!$E$2:$E$294,C$28)</f>
        <v/>
      </c>
      <c r="D30" s="23">
        <f>COUNTIFS(Tasks!$B$2:$B$294,$A30,Tasks!$E$2:$E$294,D$28)</f>
        <v/>
      </c>
      <c r="E30" s="23">
        <f>COUNTIFS(Tasks!$B$2:$B$294,$A30,Tasks!$E$2:$E$294,E$28)</f>
        <v/>
      </c>
      <c r="F30" s="23">
        <f>COUNTIFS(Tasks!$B$2:$B$294,$A30,Tasks!$E$2:$E$294,F$28)</f>
        <v/>
      </c>
      <c r="G30" s="23">
        <f>COUNTIFS(Tasks!$B$2:$B$294,$A30,Tasks!$E$2:$E$294,G$28)</f>
        <v/>
      </c>
      <c r="H30" s="23">
        <f>COUNTIFS(Tasks!$B$2:$B$294,$A30,Tasks!$E$2:$E$294,H$28)</f>
        <v/>
      </c>
      <c r="I30" s="23">
        <f>COUNTIFS(Tasks!$B$2:$B$294,$A30,Tasks!$E$2:$E$294,I$28)</f>
        <v/>
      </c>
      <c r="J30" s="23">
        <f>COUNTIF(Tasks!$B$2:$B$294,$A30)</f>
        <v/>
      </c>
    </row>
    <row r="31">
      <c r="A31" s="23" t="inlineStr">
        <is>
          <t>Registration</t>
        </is>
      </c>
      <c r="B31" s="23">
        <f>COUNTIFS(Tasks!$B$2:$B$294,$A31,Tasks!$E$2:$E$294,B$28)</f>
        <v/>
      </c>
      <c r="C31" s="23">
        <f>COUNTIFS(Tasks!$B$2:$B$294,$A31,Tasks!$E$2:$E$294,C$28)</f>
        <v/>
      </c>
      <c r="D31" s="23">
        <f>COUNTIFS(Tasks!$B$2:$B$294,$A31,Tasks!$E$2:$E$294,D$28)</f>
        <v/>
      </c>
      <c r="E31" s="23">
        <f>COUNTIFS(Tasks!$B$2:$B$294,$A31,Tasks!$E$2:$E$294,E$28)</f>
        <v/>
      </c>
      <c r="F31" s="23">
        <f>COUNTIFS(Tasks!$B$2:$B$294,$A31,Tasks!$E$2:$E$294,F$28)</f>
        <v/>
      </c>
      <c r="G31" s="23">
        <f>COUNTIFS(Tasks!$B$2:$B$294,$A31,Tasks!$E$2:$E$294,G$28)</f>
        <v/>
      </c>
      <c r="H31" s="23">
        <f>COUNTIFS(Tasks!$B$2:$B$294,$A31,Tasks!$E$2:$E$294,H$28)</f>
        <v/>
      </c>
      <c r="I31" s="23">
        <f>COUNTIFS(Tasks!$B$2:$B$294,$A31,Tasks!$E$2:$E$294,I$28)</f>
        <v/>
      </c>
      <c r="J31" s="23">
        <f>COUNTIF(Tasks!$B$2:$B$294,$A31)</f>
        <v/>
      </c>
    </row>
    <row r="32">
      <c r="A32" s="23" t="inlineStr">
        <is>
          <t>Recruitment</t>
        </is>
      </c>
      <c r="B32" s="23">
        <f>COUNTIFS(Tasks!$B$2:$B$294,$A32,Tasks!$E$2:$E$294,B$28)</f>
        <v/>
      </c>
      <c r="C32" s="23">
        <f>COUNTIFS(Tasks!$B$2:$B$294,$A32,Tasks!$E$2:$E$294,C$28)</f>
        <v/>
      </c>
      <c r="D32" s="23">
        <f>COUNTIFS(Tasks!$B$2:$B$294,$A32,Tasks!$E$2:$E$294,D$28)</f>
        <v/>
      </c>
      <c r="E32" s="23">
        <f>COUNTIFS(Tasks!$B$2:$B$294,$A32,Tasks!$E$2:$E$294,E$28)</f>
        <v/>
      </c>
      <c r="F32" s="23">
        <f>COUNTIFS(Tasks!$B$2:$B$294,$A32,Tasks!$E$2:$E$294,F$28)</f>
        <v/>
      </c>
      <c r="G32" s="23">
        <f>COUNTIFS(Tasks!$B$2:$B$294,$A32,Tasks!$E$2:$E$294,G$28)</f>
        <v/>
      </c>
      <c r="H32" s="23">
        <f>COUNTIFS(Tasks!$B$2:$B$294,$A32,Tasks!$E$2:$E$294,H$28)</f>
        <v/>
      </c>
      <c r="I32" s="23">
        <f>COUNTIFS(Tasks!$B$2:$B$294,$A32,Tasks!$E$2:$E$294,I$28)</f>
        <v/>
      </c>
      <c r="J32" s="23">
        <f>COUNTIF(Tasks!$B$2:$B$294,$A32)</f>
        <v/>
      </c>
    </row>
    <row r="33">
      <c r="A33" s="23" t="inlineStr">
        <is>
          <t>HR dashboard</t>
        </is>
      </c>
      <c r="B33" s="23">
        <f>COUNTIFS(Tasks!$B$2:$B$294,$A33,Tasks!$E$2:$E$294,B$28)</f>
        <v/>
      </c>
      <c r="C33" s="23">
        <f>COUNTIFS(Tasks!$B$2:$B$294,$A33,Tasks!$E$2:$E$294,C$28)</f>
        <v/>
      </c>
      <c r="D33" s="23">
        <f>COUNTIFS(Tasks!$B$2:$B$294,$A33,Tasks!$E$2:$E$294,D$28)</f>
        <v/>
      </c>
      <c r="E33" s="23">
        <f>COUNTIFS(Tasks!$B$2:$B$294,$A33,Tasks!$E$2:$E$294,E$28)</f>
        <v/>
      </c>
      <c r="F33" s="23">
        <f>COUNTIFS(Tasks!$B$2:$B$294,$A33,Tasks!$E$2:$E$294,F$28)</f>
        <v/>
      </c>
      <c r="G33" s="23">
        <f>COUNTIFS(Tasks!$B$2:$B$294,$A33,Tasks!$E$2:$E$294,G$28)</f>
        <v/>
      </c>
      <c r="H33" s="23">
        <f>COUNTIFS(Tasks!$B$2:$B$294,$A33,Tasks!$E$2:$E$294,H$28)</f>
        <v/>
      </c>
      <c r="I33" s="23">
        <f>COUNTIFS(Tasks!$B$2:$B$294,$A33,Tasks!$E$2:$E$294,I$28)</f>
        <v/>
      </c>
      <c r="J33" s="23">
        <f>COUNTIF(Tasks!$B$2:$B$294,$A33)</f>
        <v/>
      </c>
    </row>
    <row r="34">
      <c r="A34" s="23" t="inlineStr">
        <is>
          <t>Self-service</t>
        </is>
      </c>
      <c r="B34" s="23">
        <f>COUNTIFS(Tasks!$B$2:$B$294,$A34,Tasks!$E$2:$E$294,B$28)</f>
        <v/>
      </c>
      <c r="C34" s="23">
        <f>COUNTIFS(Tasks!$B$2:$B$294,$A34,Tasks!$E$2:$E$294,C$28)</f>
        <v/>
      </c>
      <c r="D34" s="23">
        <f>COUNTIFS(Tasks!$B$2:$B$294,$A34,Tasks!$E$2:$E$294,D$28)</f>
        <v/>
      </c>
      <c r="E34" s="23">
        <f>COUNTIFS(Tasks!$B$2:$B$294,$A34,Tasks!$E$2:$E$294,E$28)</f>
        <v/>
      </c>
      <c r="F34" s="23">
        <f>COUNTIFS(Tasks!$B$2:$B$294,$A34,Tasks!$E$2:$E$294,F$28)</f>
        <v/>
      </c>
      <c r="G34" s="23">
        <f>COUNTIFS(Tasks!$B$2:$B$294,$A34,Tasks!$E$2:$E$294,G$28)</f>
        <v/>
      </c>
      <c r="H34" s="23">
        <f>COUNTIFS(Tasks!$B$2:$B$294,$A34,Tasks!$E$2:$E$294,H$28)</f>
        <v/>
      </c>
      <c r="I34" s="23">
        <f>COUNTIFS(Tasks!$B$2:$B$294,$A34,Tasks!$E$2:$E$294,I$28)</f>
        <v/>
      </c>
      <c r="J34" s="23">
        <f>COUNTIF(Tasks!$B$2:$B$294,$A34)</f>
        <v/>
      </c>
    </row>
    <row r="35">
      <c r="A35" s="23" t="inlineStr">
        <is>
          <t>Security</t>
        </is>
      </c>
      <c r="B35" s="23">
        <f>COUNTIFS(Tasks!$B$2:$B$294,$A35,Tasks!$E$2:$E$294,B$28)</f>
        <v/>
      </c>
      <c r="C35" s="23">
        <f>COUNTIFS(Tasks!$B$2:$B$294,$A35,Tasks!$E$2:$E$294,C$28)</f>
        <v/>
      </c>
      <c r="D35" s="23">
        <f>COUNTIFS(Tasks!$B$2:$B$294,$A35,Tasks!$E$2:$E$294,D$28)</f>
        <v/>
      </c>
      <c r="E35" s="23">
        <f>COUNTIFS(Tasks!$B$2:$B$294,$A35,Tasks!$E$2:$E$294,E$28)</f>
        <v/>
      </c>
      <c r="F35" s="23">
        <f>COUNTIFS(Tasks!$B$2:$B$294,$A35,Tasks!$E$2:$E$294,F$28)</f>
        <v/>
      </c>
      <c r="G35" s="23">
        <f>COUNTIFS(Tasks!$B$2:$B$294,$A35,Tasks!$E$2:$E$294,G$28)</f>
        <v/>
      </c>
      <c r="H35" s="23">
        <f>COUNTIFS(Tasks!$B$2:$B$294,$A35,Tasks!$E$2:$E$294,H$28)</f>
        <v/>
      </c>
      <c r="I35" s="23">
        <f>COUNTIFS(Tasks!$B$2:$B$294,$A35,Tasks!$E$2:$E$294,I$28)</f>
        <v/>
      </c>
      <c r="J35" s="23">
        <f>COUNTIF(Tasks!$B$2:$B$294,$A35)</f>
        <v/>
      </c>
    </row>
    <row r="36">
      <c r="A36" s="23" t="inlineStr">
        <is>
          <t>Leave</t>
        </is>
      </c>
      <c r="B36" s="23">
        <f>COUNTIFS(Tasks!$B$2:$B$294,$A36,Tasks!$E$2:$E$294,B$28)</f>
        <v/>
      </c>
      <c r="C36" s="23">
        <f>COUNTIFS(Tasks!$B$2:$B$294,$A36,Tasks!$E$2:$E$294,C$28)</f>
        <v/>
      </c>
      <c r="D36" s="23">
        <f>COUNTIFS(Tasks!$B$2:$B$294,$A36,Tasks!$E$2:$E$294,D$28)</f>
        <v/>
      </c>
      <c r="E36" s="23">
        <f>COUNTIFS(Tasks!$B$2:$B$294,$A36,Tasks!$E$2:$E$294,E$28)</f>
        <v/>
      </c>
      <c r="F36" s="23">
        <f>COUNTIFS(Tasks!$B$2:$B$294,$A36,Tasks!$E$2:$E$294,F$28)</f>
        <v/>
      </c>
      <c r="G36" s="23">
        <f>COUNTIFS(Tasks!$B$2:$B$294,$A36,Tasks!$E$2:$E$294,G$28)</f>
        <v/>
      </c>
      <c r="H36" s="23">
        <f>COUNTIFS(Tasks!$B$2:$B$294,$A36,Tasks!$E$2:$E$294,H$28)</f>
        <v/>
      </c>
      <c r="I36" s="23">
        <f>COUNTIFS(Tasks!$B$2:$B$294,$A36,Tasks!$E$2:$E$294,I$28)</f>
        <v/>
      </c>
      <c r="J36" s="23">
        <f>COUNTIF(Tasks!$B$2:$B$294,$A36)</f>
        <v/>
      </c>
    </row>
    <row r="37">
      <c r="A37" s="23" t="inlineStr">
        <is>
          <t>Approvals</t>
        </is>
      </c>
      <c r="B37" s="23">
        <f>COUNTIFS(Tasks!$B$2:$B$294,$A37,Tasks!$E$2:$E$294,B$28)</f>
        <v/>
      </c>
      <c r="C37" s="23">
        <f>COUNTIFS(Tasks!$B$2:$B$294,$A37,Tasks!$E$2:$E$294,C$28)</f>
        <v/>
      </c>
      <c r="D37" s="23">
        <f>COUNTIFS(Tasks!$B$2:$B$294,$A37,Tasks!$E$2:$E$294,D$28)</f>
        <v/>
      </c>
      <c r="E37" s="23">
        <f>COUNTIFS(Tasks!$B$2:$B$294,$A37,Tasks!$E$2:$E$294,E$28)</f>
        <v/>
      </c>
      <c r="F37" s="23">
        <f>COUNTIFS(Tasks!$B$2:$B$294,$A37,Tasks!$E$2:$E$294,F$28)</f>
        <v/>
      </c>
      <c r="G37" s="23">
        <f>COUNTIFS(Tasks!$B$2:$B$294,$A37,Tasks!$E$2:$E$294,G$28)</f>
        <v/>
      </c>
      <c r="H37" s="23">
        <f>COUNTIFS(Tasks!$B$2:$B$294,$A37,Tasks!$E$2:$E$294,H$28)</f>
        <v/>
      </c>
      <c r="I37" s="23">
        <f>COUNTIFS(Tasks!$B$2:$B$294,$A37,Tasks!$E$2:$E$294,I$28)</f>
        <v/>
      </c>
      <c r="J37" s="23">
        <f>COUNTIF(Tasks!$B$2:$B$294,$A37)</f>
        <v/>
      </c>
    </row>
    <row r="38">
      <c r="A38" s="23" t="inlineStr">
        <is>
          <t>Compliance</t>
        </is>
      </c>
      <c r="B38" s="23">
        <f>COUNTIFS(Tasks!$B$2:$B$294,$A38,Tasks!$E$2:$E$294,B$28)</f>
        <v/>
      </c>
      <c r="C38" s="23">
        <f>COUNTIFS(Tasks!$B$2:$B$294,$A38,Tasks!$E$2:$E$294,C$28)</f>
        <v/>
      </c>
      <c r="D38" s="23">
        <f>COUNTIFS(Tasks!$B$2:$B$294,$A38,Tasks!$E$2:$E$294,D$28)</f>
        <v/>
      </c>
      <c r="E38" s="23">
        <f>COUNTIFS(Tasks!$B$2:$B$294,$A38,Tasks!$E$2:$E$294,E$28)</f>
        <v/>
      </c>
      <c r="F38" s="23">
        <f>COUNTIFS(Tasks!$B$2:$B$294,$A38,Tasks!$E$2:$E$294,F$28)</f>
        <v/>
      </c>
      <c r="G38" s="23">
        <f>COUNTIFS(Tasks!$B$2:$B$294,$A38,Tasks!$E$2:$E$294,G$28)</f>
        <v/>
      </c>
      <c r="H38" s="23">
        <f>COUNTIFS(Tasks!$B$2:$B$294,$A38,Tasks!$E$2:$E$294,H$28)</f>
        <v/>
      </c>
      <c r="I38" s="23">
        <f>COUNTIFS(Tasks!$B$2:$B$294,$A38,Tasks!$E$2:$E$294,I$28)</f>
        <v/>
      </c>
      <c r="J38" s="23">
        <f>COUNTIF(Tasks!$B$2:$B$294,$A38)</f>
        <v/>
      </c>
    </row>
    <row r="39">
      <c r="A39" s="23" t="inlineStr">
        <is>
          <t>Integration</t>
        </is>
      </c>
      <c r="B39" s="23">
        <f>COUNTIFS(Tasks!$B$2:$B$294,$A39,Tasks!$E$2:$E$294,B$28)</f>
        <v/>
      </c>
      <c r="C39" s="23">
        <f>COUNTIFS(Tasks!$B$2:$B$294,$A39,Tasks!$E$2:$E$294,C$28)</f>
        <v/>
      </c>
      <c r="D39" s="23">
        <f>COUNTIFS(Tasks!$B$2:$B$294,$A39,Tasks!$E$2:$E$294,D$28)</f>
        <v/>
      </c>
      <c r="E39" s="23">
        <f>COUNTIFS(Tasks!$B$2:$B$294,$A39,Tasks!$E$2:$E$294,E$28)</f>
        <v/>
      </c>
      <c r="F39" s="23">
        <f>COUNTIFS(Tasks!$B$2:$B$294,$A39,Tasks!$E$2:$E$294,F$28)</f>
        <v/>
      </c>
      <c r="G39" s="23">
        <f>COUNTIFS(Tasks!$B$2:$B$294,$A39,Tasks!$E$2:$E$294,G$28)</f>
        <v/>
      </c>
      <c r="H39" s="23">
        <f>COUNTIFS(Tasks!$B$2:$B$294,$A39,Tasks!$E$2:$E$294,H$28)</f>
        <v/>
      </c>
      <c r="I39" s="23">
        <f>COUNTIFS(Tasks!$B$2:$B$294,$A39,Tasks!$E$2:$E$294,I$28)</f>
        <v/>
      </c>
      <c r="J39" s="23">
        <f>COUNTIF(Tasks!$B$2:$B$294,$A39)</f>
        <v/>
      </c>
    </row>
    <row r="40">
      <c r="A40" s="23" t="inlineStr">
        <is>
          <t>Payroll</t>
        </is>
      </c>
      <c r="B40" s="23">
        <f>COUNTIFS(Tasks!$B$2:$B$294,$A40,Tasks!$E$2:$E$294,B$28)</f>
        <v/>
      </c>
      <c r="C40" s="23">
        <f>COUNTIFS(Tasks!$B$2:$B$294,$A40,Tasks!$E$2:$E$294,C$28)</f>
        <v/>
      </c>
      <c r="D40" s="23">
        <f>COUNTIFS(Tasks!$B$2:$B$294,$A40,Tasks!$E$2:$E$294,D$28)</f>
        <v/>
      </c>
      <c r="E40" s="23">
        <f>COUNTIFS(Tasks!$B$2:$B$294,$A40,Tasks!$E$2:$E$294,E$28)</f>
        <v/>
      </c>
      <c r="F40" s="23">
        <f>COUNTIFS(Tasks!$B$2:$B$294,$A40,Tasks!$E$2:$E$294,F$28)</f>
        <v/>
      </c>
      <c r="G40" s="23">
        <f>COUNTIFS(Tasks!$B$2:$B$294,$A40,Tasks!$E$2:$E$294,G$28)</f>
        <v/>
      </c>
      <c r="H40" s="23">
        <f>COUNTIFS(Tasks!$B$2:$B$294,$A40,Tasks!$E$2:$E$294,H$28)</f>
        <v/>
      </c>
      <c r="I40" s="23">
        <f>COUNTIFS(Tasks!$B$2:$B$294,$A40,Tasks!$E$2:$E$294,I$28)</f>
        <v/>
      </c>
      <c r="J40" s="23">
        <f>COUNTIF(Tasks!$B$2:$B$294,$A40)</f>
        <v/>
      </c>
    </row>
    <row r="41">
      <c r="A41" s="23" t="inlineStr">
        <is>
          <t>Testing</t>
        </is>
      </c>
      <c r="B41" s="23">
        <f>COUNTIFS(Tasks!$B$2:$B$294,$A41,Tasks!$E$2:$E$294,B$28)</f>
        <v/>
      </c>
      <c r="C41" s="23">
        <f>COUNTIFS(Tasks!$B$2:$B$294,$A41,Tasks!$E$2:$E$294,C$28)</f>
        <v/>
      </c>
      <c r="D41" s="23">
        <f>COUNTIFS(Tasks!$B$2:$B$294,$A41,Tasks!$E$2:$E$294,D$28)</f>
        <v/>
      </c>
      <c r="E41" s="23">
        <f>COUNTIFS(Tasks!$B$2:$B$294,$A41,Tasks!$E$2:$E$294,E$28)</f>
        <v/>
      </c>
      <c r="F41" s="23">
        <f>COUNTIFS(Tasks!$B$2:$B$294,$A41,Tasks!$E$2:$E$294,F$28)</f>
        <v/>
      </c>
      <c r="G41" s="23">
        <f>COUNTIFS(Tasks!$B$2:$B$294,$A41,Tasks!$E$2:$E$294,G$28)</f>
        <v/>
      </c>
      <c r="H41" s="23">
        <f>COUNTIFS(Tasks!$B$2:$B$294,$A41,Tasks!$E$2:$E$294,H$28)</f>
        <v/>
      </c>
      <c r="I41" s="23">
        <f>COUNTIFS(Tasks!$B$2:$B$294,$A41,Tasks!$E$2:$E$294,I$28)</f>
        <v/>
      </c>
      <c r="J41" s="23">
        <f>COUNTIF(Tasks!$B$2:$B$294,$A41)</f>
        <v/>
      </c>
    </row>
    <row r="42">
      <c r="A42" s="23" t="inlineStr">
        <is>
          <t>Documentation</t>
        </is>
      </c>
      <c r="B42" s="23">
        <f>COUNTIFS(Tasks!$B$2:$B$294,$A42,Tasks!$E$2:$E$294,B$28)</f>
        <v/>
      </c>
      <c r="C42" s="23">
        <f>COUNTIFS(Tasks!$B$2:$B$294,$A42,Tasks!$E$2:$E$294,C$28)</f>
        <v/>
      </c>
      <c r="D42" s="23">
        <f>COUNTIFS(Tasks!$B$2:$B$294,$A42,Tasks!$E$2:$E$294,D$28)</f>
        <v/>
      </c>
      <c r="E42" s="23">
        <f>COUNTIFS(Tasks!$B$2:$B$294,$A42,Tasks!$E$2:$E$294,E$28)</f>
        <v/>
      </c>
      <c r="F42" s="23">
        <f>COUNTIFS(Tasks!$B$2:$B$294,$A42,Tasks!$E$2:$E$294,F$28)</f>
        <v/>
      </c>
      <c r="G42" s="23">
        <f>COUNTIFS(Tasks!$B$2:$B$294,$A42,Tasks!$E$2:$E$294,G$28)</f>
        <v/>
      </c>
      <c r="H42" s="23">
        <f>COUNTIFS(Tasks!$B$2:$B$294,$A42,Tasks!$E$2:$E$294,H$28)</f>
        <v/>
      </c>
      <c r="I42" s="23">
        <f>COUNTIFS(Tasks!$B$2:$B$294,$A42,Tasks!$E$2:$E$294,I$28)</f>
        <v/>
      </c>
      <c r="J42" s="23">
        <f>COUNTIF(Tasks!$B$2:$B$294,$A42)</f>
        <v/>
      </c>
    </row>
    <row r="43">
      <c r="A43" s="23" t="inlineStr">
        <is>
          <t>Academic presence</t>
        </is>
      </c>
      <c r="B43" s="23">
        <f>COUNTIFS(Tasks!$B$2:$B$294,$A43,Tasks!$E$2:$E$294,B$28)</f>
        <v/>
      </c>
      <c r="C43" s="23">
        <f>COUNTIFS(Tasks!$B$2:$B$294,$A43,Tasks!$E$2:$E$294,C$28)</f>
        <v/>
      </c>
      <c r="D43" s="23">
        <f>COUNTIFS(Tasks!$B$2:$B$294,$A43,Tasks!$E$2:$E$294,D$28)</f>
        <v/>
      </c>
      <c r="E43" s="23">
        <f>COUNTIFS(Tasks!$B$2:$B$294,$A43,Tasks!$E$2:$E$294,E$28)</f>
        <v/>
      </c>
      <c r="F43" s="23">
        <f>COUNTIFS(Tasks!$B$2:$B$294,$A43,Tasks!$E$2:$E$294,F$28)</f>
        <v/>
      </c>
      <c r="G43" s="23">
        <f>COUNTIFS(Tasks!$B$2:$B$294,$A43,Tasks!$E$2:$E$294,G$28)</f>
        <v/>
      </c>
      <c r="H43" s="23">
        <f>COUNTIFS(Tasks!$B$2:$B$294,$A43,Tasks!$E$2:$E$294,H$28)</f>
        <v/>
      </c>
      <c r="I43" s="23">
        <f>COUNTIFS(Tasks!$B$2:$B$294,$A43,Tasks!$E$2:$E$294,I$28)</f>
        <v/>
      </c>
      <c r="J43" s="23">
        <f>COUNTIF(Tasks!$B$2:$B$294,$A43)</f>
        <v/>
      </c>
    </row>
    <row r="44">
      <c r="A44" s="23" t="inlineStr">
        <is>
          <t>Employee master</t>
        </is>
      </c>
      <c r="B44" s="23">
        <f>COUNTIFS(Tasks!$B$2:$B$294,$A44,Tasks!$E$2:$E$294,B$28)</f>
        <v/>
      </c>
      <c r="C44" s="23">
        <f>COUNTIFS(Tasks!$B$2:$B$294,$A44,Tasks!$E$2:$E$294,C$28)</f>
        <v/>
      </c>
      <c r="D44" s="23">
        <f>COUNTIFS(Tasks!$B$2:$B$294,$A44,Tasks!$E$2:$E$294,D$28)</f>
        <v/>
      </c>
      <c r="E44" s="23">
        <f>COUNTIFS(Tasks!$B$2:$B$294,$A44,Tasks!$E$2:$E$294,E$28)</f>
        <v/>
      </c>
      <c r="F44" s="23">
        <f>COUNTIFS(Tasks!$B$2:$B$294,$A44,Tasks!$E$2:$E$294,F$28)</f>
        <v/>
      </c>
      <c r="G44" s="23">
        <f>COUNTIFS(Tasks!$B$2:$B$294,$A44,Tasks!$E$2:$E$294,G$28)</f>
        <v/>
      </c>
      <c r="H44" s="23">
        <f>COUNTIFS(Tasks!$B$2:$B$294,$A44,Tasks!$E$2:$E$294,H$28)</f>
        <v/>
      </c>
      <c r="I44" s="23">
        <f>COUNTIFS(Tasks!$B$2:$B$294,$A44,Tasks!$E$2:$E$294,I$28)</f>
        <v/>
      </c>
      <c r="J44" s="23">
        <f>COUNTIF(Tasks!$B$2:$B$294,$A44)</f>
        <v/>
      </c>
    </row>
    <row r="45">
      <c r="A45" s="23" t="inlineStr">
        <is>
          <t>Requests</t>
        </is>
      </c>
      <c r="B45" s="23">
        <f>COUNTIFS(Tasks!$B$2:$B$294,$A45,Tasks!$E$2:$E$294,B$28)</f>
        <v/>
      </c>
      <c r="C45" s="23">
        <f>COUNTIFS(Tasks!$B$2:$B$294,$A45,Tasks!$E$2:$E$294,C$28)</f>
        <v/>
      </c>
      <c r="D45" s="23">
        <f>COUNTIFS(Tasks!$B$2:$B$294,$A45,Tasks!$E$2:$E$294,D$28)</f>
        <v/>
      </c>
      <c r="E45" s="23">
        <f>COUNTIFS(Tasks!$B$2:$B$294,$A45,Tasks!$E$2:$E$294,E$28)</f>
        <v/>
      </c>
      <c r="F45" s="23">
        <f>COUNTIFS(Tasks!$B$2:$B$294,$A45,Tasks!$E$2:$E$294,F$28)</f>
        <v/>
      </c>
      <c r="G45" s="23">
        <f>COUNTIFS(Tasks!$B$2:$B$294,$A45,Tasks!$E$2:$E$294,G$28)</f>
        <v/>
      </c>
      <c r="H45" s="23">
        <f>COUNTIFS(Tasks!$B$2:$B$294,$A45,Tasks!$E$2:$E$294,H$28)</f>
        <v/>
      </c>
      <c r="I45" s="23">
        <f>COUNTIFS(Tasks!$B$2:$B$294,$A45,Tasks!$E$2:$E$294,I$28)</f>
        <v/>
      </c>
      <c r="J45" s="23">
        <f>COUNTIF(Tasks!$B$2:$B$294,$A45)</f>
        <v/>
      </c>
    </row>
    <row r="46">
      <c r="A46" s="23" t="inlineStr">
        <is>
          <t>Navigation</t>
        </is>
      </c>
      <c r="B46" s="23">
        <f>COUNTIFS(Tasks!$B$2:$B$294,$A46,Tasks!$E$2:$E$294,B$28)</f>
        <v/>
      </c>
      <c r="C46" s="23">
        <f>COUNTIFS(Tasks!$B$2:$B$294,$A46,Tasks!$E$2:$E$294,C$28)</f>
        <v/>
      </c>
      <c r="D46" s="23">
        <f>COUNTIFS(Tasks!$B$2:$B$294,$A46,Tasks!$E$2:$E$294,D$28)</f>
        <v/>
      </c>
      <c r="E46" s="23">
        <f>COUNTIFS(Tasks!$B$2:$B$294,$A46,Tasks!$E$2:$E$294,E$28)</f>
        <v/>
      </c>
      <c r="F46" s="23">
        <f>COUNTIFS(Tasks!$B$2:$B$294,$A46,Tasks!$E$2:$E$294,F$28)</f>
        <v/>
      </c>
      <c r="G46" s="23">
        <f>COUNTIFS(Tasks!$B$2:$B$294,$A46,Tasks!$E$2:$E$294,G$28)</f>
        <v/>
      </c>
      <c r="H46" s="23">
        <f>COUNTIFS(Tasks!$B$2:$B$294,$A46,Tasks!$E$2:$E$294,H$28)</f>
        <v/>
      </c>
      <c r="I46" s="23">
        <f>COUNTIFS(Tasks!$B$2:$B$294,$A46,Tasks!$E$2:$E$294,I$28)</f>
        <v/>
      </c>
      <c r="J46" s="23">
        <f>COUNTIF(Tasks!$B$2:$B$294,$A46)</f>
        <v/>
      </c>
    </row>
    <row r="47">
      <c r="A47" s="23" t="inlineStr">
        <is>
          <t>Repository</t>
        </is>
      </c>
      <c r="B47" s="23">
        <f>COUNTIFS(Tasks!$B$2:$B$294,$A47,Tasks!$E$2:$E$294,B$28)</f>
        <v/>
      </c>
      <c r="C47" s="23">
        <f>COUNTIFS(Tasks!$B$2:$B$294,$A47,Tasks!$E$2:$E$294,C$28)</f>
        <v/>
      </c>
      <c r="D47" s="23">
        <f>COUNTIFS(Tasks!$B$2:$B$294,$A47,Tasks!$E$2:$E$294,D$28)</f>
        <v/>
      </c>
      <c r="E47" s="23">
        <f>COUNTIFS(Tasks!$B$2:$B$294,$A47,Tasks!$E$2:$E$294,E$28)</f>
        <v/>
      </c>
      <c r="F47" s="23">
        <f>COUNTIFS(Tasks!$B$2:$B$294,$A47,Tasks!$E$2:$E$294,F$28)</f>
        <v/>
      </c>
      <c r="G47" s="23">
        <f>COUNTIFS(Tasks!$B$2:$B$294,$A47,Tasks!$E$2:$E$294,G$28)</f>
        <v/>
      </c>
      <c r="H47" s="23">
        <f>COUNTIFS(Tasks!$B$2:$B$294,$A47,Tasks!$E$2:$E$294,H$28)</f>
        <v/>
      </c>
      <c r="I47" s="23">
        <f>COUNTIFS(Tasks!$B$2:$B$294,$A47,Tasks!$E$2:$E$294,I$28)</f>
        <v/>
      </c>
      <c r="J47" s="23">
        <f>COUNTIF(Tasks!$B$2:$B$294,$A47)</f>
        <v/>
      </c>
    </row>
    <row r="48">
      <c r="A48" s="23" t="inlineStr">
        <is>
          <t>Infrastructure</t>
        </is>
      </c>
      <c r="B48" s="23">
        <f>COUNTIFS(Tasks!$B$2:$B$294,$A48,Tasks!$E$2:$E$294,B$28)</f>
        <v/>
      </c>
      <c r="C48" s="23">
        <f>COUNTIFS(Tasks!$B$2:$B$294,$A48,Tasks!$E$2:$E$294,C$28)</f>
        <v/>
      </c>
      <c r="D48" s="23">
        <f>COUNTIFS(Tasks!$B$2:$B$294,$A48,Tasks!$E$2:$E$294,D$28)</f>
        <v/>
      </c>
      <c r="E48" s="23">
        <f>COUNTIFS(Tasks!$B$2:$B$294,$A48,Tasks!$E$2:$E$294,E$28)</f>
        <v/>
      </c>
      <c r="F48" s="23">
        <f>COUNTIFS(Tasks!$B$2:$B$294,$A48,Tasks!$E$2:$E$294,F$28)</f>
        <v/>
      </c>
      <c r="G48" s="23">
        <f>COUNTIFS(Tasks!$B$2:$B$294,$A48,Tasks!$E$2:$E$294,G$28)</f>
        <v/>
      </c>
      <c r="H48" s="23">
        <f>COUNTIFS(Tasks!$B$2:$B$294,$A48,Tasks!$E$2:$E$294,H$28)</f>
        <v/>
      </c>
      <c r="I48" s="23">
        <f>COUNTIFS(Tasks!$B$2:$B$294,$A48,Tasks!$E$2:$E$294,I$28)</f>
        <v/>
      </c>
      <c r="J48" s="23">
        <f>COUNTIF(Tasks!$B$2:$B$294,$A48)</f>
        <v/>
      </c>
    </row>
    <row r="49">
      <c r="A49" s="23" t="inlineStr">
        <is>
          <t>Data</t>
        </is>
      </c>
      <c r="B49" s="23">
        <f>COUNTIFS(Tasks!$B$2:$B$294,$A49,Tasks!$E$2:$E$294,B$28)</f>
        <v/>
      </c>
      <c r="C49" s="23">
        <f>COUNTIFS(Tasks!$B$2:$B$294,$A49,Tasks!$E$2:$E$294,C$28)</f>
        <v/>
      </c>
      <c r="D49" s="23">
        <f>COUNTIFS(Tasks!$B$2:$B$294,$A49,Tasks!$E$2:$E$294,D$28)</f>
        <v/>
      </c>
      <c r="E49" s="23">
        <f>COUNTIFS(Tasks!$B$2:$B$294,$A49,Tasks!$E$2:$E$294,E$28)</f>
        <v/>
      </c>
      <c r="F49" s="23">
        <f>COUNTIFS(Tasks!$B$2:$B$294,$A49,Tasks!$E$2:$E$294,F$28)</f>
        <v/>
      </c>
      <c r="G49" s="23">
        <f>COUNTIFS(Tasks!$B$2:$B$294,$A49,Tasks!$E$2:$E$294,G$28)</f>
        <v/>
      </c>
      <c r="H49" s="23">
        <f>COUNTIFS(Tasks!$B$2:$B$294,$A49,Tasks!$E$2:$E$294,H$28)</f>
        <v/>
      </c>
      <c r="I49" s="23">
        <f>COUNTIFS(Tasks!$B$2:$B$294,$A49,Tasks!$E$2:$E$294,I$28)</f>
        <v/>
      </c>
      <c r="J49" s="23">
        <f>COUNTIF(Tasks!$B$2:$B$294,$A49)</f>
        <v/>
      </c>
    </row>
    <row r="50">
      <c r="A50" s="23" t="inlineStr">
        <is>
          <t>Deployment</t>
        </is>
      </c>
      <c r="B50" s="23">
        <f>COUNTIFS(Tasks!$B$2:$B$294,$A50,Tasks!$E$2:$E$294,B$28)</f>
        <v/>
      </c>
      <c r="C50" s="23">
        <f>COUNTIFS(Tasks!$B$2:$B$294,$A50,Tasks!$E$2:$E$294,C$28)</f>
        <v/>
      </c>
      <c r="D50" s="23">
        <f>COUNTIFS(Tasks!$B$2:$B$294,$A50,Tasks!$E$2:$E$294,D$28)</f>
        <v/>
      </c>
      <c r="E50" s="23">
        <f>COUNTIFS(Tasks!$B$2:$B$294,$A50,Tasks!$E$2:$E$294,E$28)</f>
        <v/>
      </c>
      <c r="F50" s="23">
        <f>COUNTIFS(Tasks!$B$2:$B$294,$A50,Tasks!$E$2:$E$294,F$28)</f>
        <v/>
      </c>
      <c r="G50" s="23">
        <f>COUNTIFS(Tasks!$B$2:$B$294,$A50,Tasks!$E$2:$E$294,G$28)</f>
        <v/>
      </c>
      <c r="H50" s="23">
        <f>COUNTIFS(Tasks!$B$2:$B$294,$A50,Tasks!$E$2:$E$294,H$28)</f>
        <v/>
      </c>
      <c r="I50" s="23">
        <f>COUNTIFS(Tasks!$B$2:$B$294,$A50,Tasks!$E$2:$E$294,I$28)</f>
        <v/>
      </c>
      <c r="J50" s="23">
        <f>COUNTIF(Tasks!$B$2:$B$294,$A50)</f>
        <v/>
      </c>
    </row>
    <row r="51">
      <c r="A51" s="23" t="inlineStr">
        <is>
          <t>Jameah</t>
        </is>
      </c>
      <c r="B51" s="23">
        <f>COUNTIFS(Tasks!$B$2:$B$294,$A51,Tasks!$E$2:$E$294,B$28)</f>
        <v/>
      </c>
      <c r="C51" s="23">
        <f>COUNTIFS(Tasks!$B$2:$B$294,$A51,Tasks!$E$2:$E$294,C$28)</f>
        <v/>
      </c>
      <c r="D51" s="23">
        <f>COUNTIFS(Tasks!$B$2:$B$294,$A51,Tasks!$E$2:$E$294,D$28)</f>
        <v/>
      </c>
      <c r="E51" s="23">
        <f>COUNTIFS(Tasks!$B$2:$B$294,$A51,Tasks!$E$2:$E$294,E$28)</f>
        <v/>
      </c>
      <c r="F51" s="23">
        <f>COUNTIFS(Tasks!$B$2:$B$294,$A51,Tasks!$E$2:$E$294,F$28)</f>
        <v/>
      </c>
      <c r="G51" s="23">
        <f>COUNTIFS(Tasks!$B$2:$B$294,$A51,Tasks!$E$2:$E$294,G$28)</f>
        <v/>
      </c>
      <c r="H51" s="23">
        <f>COUNTIFS(Tasks!$B$2:$B$294,$A51,Tasks!$E$2:$E$294,H$28)</f>
        <v/>
      </c>
      <c r="I51" s="23">
        <f>COUNTIFS(Tasks!$B$2:$B$294,$A51,Tasks!$E$2:$E$294,I$28)</f>
        <v/>
      </c>
      <c r="J51" s="23">
        <f>COUNTIF(Tasks!$B$2:$B$294,$A51)</f>
        <v/>
      </c>
    </row>
    <row r="52"/>
    <row r="53">
      <c r="A53" s="21" t="inlineStr">
        <is>
          <t>Bugs</t>
        </is>
      </c>
      <c r="B53" s="21" t="inlineStr">
        <is>
          <t>Count</t>
        </is>
      </c>
    </row>
    <row r="54">
      <c r="A54" s="22" t="inlineStr">
        <is>
          <t>Fixed</t>
        </is>
      </c>
      <c r="B54" s="23">
        <f>COUNTIF(Bugs!$H$2:$H$156,A54)</f>
        <v/>
      </c>
    </row>
    <row r="55">
      <c r="A55" s="32" t="inlineStr">
        <is>
          <t>Open</t>
        </is>
      </c>
      <c r="B55" s="23">
        <f>COUNTIF(Bugs!$H$2:$H$156,A55)</f>
        <v/>
      </c>
    </row>
    <row r="56">
      <c r="A56" s="29" t="inlineStr">
        <is>
          <t>Open – other team</t>
        </is>
      </c>
      <c r="B56" s="23">
        <f>COUNTIF(Bugs!$H$2:$H$156,A56)</f>
        <v/>
      </c>
    </row>
    <row r="57">
      <c r="A57" s="27" t="inlineStr">
        <is>
          <t>Open – check server</t>
        </is>
      </c>
      <c r="B57" s="23">
        <f>COUNTIF(Bugs!$H$2:$H$156,A57)</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6" customWidth="1" min="2" max="2"/>
    <col width="42" customWidth="1" min="3" max="3"/>
    <col width="16" customWidth="1" min="4" max="4"/>
    <col width="22" customWidth="1" min="5" max="5"/>
    <col width="20" customWidth="1" min="6" max="6"/>
    <col width="16" customWidth="1" min="7" max="7"/>
    <col width="9" customWidth="1" min="8" max="8"/>
    <col width="60" customWidth="1" min="9" max="9"/>
    <col width="50" customWidth="1" min="10" max="10"/>
    <col width="28" customWidth="1" min="11" max="11"/>
    <col width="13" customWidth="1" min="12" max="12"/>
  </cols>
  <sheetData>
    <row r="1" ht="30" customHeight="1">
      <c r="A1" s="21" t="inlineStr">
        <is>
          <t>ID</t>
        </is>
      </c>
      <c r="B1" s="21" t="inlineStr">
        <is>
          <t>Workstream</t>
        </is>
      </c>
      <c r="C1" s="21" t="inlineStr">
        <is>
          <t>Task</t>
        </is>
      </c>
      <c r="D1" s="21" t="inlineStr">
        <is>
          <t>When done</t>
        </is>
      </c>
      <c r="E1" s="21" t="inlineStr">
        <is>
          <t>Status</t>
        </is>
      </c>
      <c r="F1" s="21" t="inlineStr">
        <is>
          <t>Owner</t>
        </is>
      </c>
      <c r="G1" s="21" t="inlineStr">
        <is>
          <t>Assigned to</t>
        </is>
      </c>
      <c r="H1" s="21" t="inlineStr">
        <is>
          <t>Priority</t>
        </is>
      </c>
      <c r="I1" s="21" t="inlineStr">
        <is>
          <t>Done so far / evidence</t>
        </is>
      </c>
      <c r="J1" s="21" t="inlineStr">
        <is>
          <t>Next step / pending</t>
        </is>
      </c>
      <c r="K1" s="21" t="inlineStr">
        <is>
          <t>Reference (commit / file)</t>
        </is>
      </c>
      <c r="L1" s="21" t="inlineStr">
        <is>
          <t>Last updated</t>
        </is>
      </c>
    </row>
    <row r="2">
      <c r="A2" s="33" t="inlineStr">
        <is>
          <t>HR-01</t>
        </is>
      </c>
      <c r="B2" s="34" t="inlineStr">
        <is>
          <t>Foundation</t>
        </is>
      </c>
      <c r="C2" s="35" t="inlineStr">
        <is>
          <t>Custom Medical HRMS app and setup scripts</t>
        </is>
      </c>
      <c r="D2" s="34" t="inlineStr">
        <is>
          <t>Earlier (May – 5 Oct 2026)</t>
        </is>
      </c>
      <c r="E2" s="34" t="inlineStr">
        <is>
          <t>Done</t>
        </is>
      </c>
      <c r="F2" s="34" t="inlineStr">
        <is>
          <t>Abdul Hakeem</t>
        </is>
      </c>
      <c r="G2" s="34" t="inlineStr">
        <is>
          <t>Abdul Hakeem</t>
        </is>
      </c>
      <c r="H2" s="34" t="inlineStr">
        <is>
          <t>Medium</t>
        </is>
      </c>
      <c r="I2" s="35" t="inlineStr">
        <is>
          <t>App, setup scripts and migration hooks exist. Migration re-run several times on 19–21 Oct without errors or duplicates; Ministry fields, permissions and Jameah views are created on every migrate.</t>
        </is>
      </c>
      <c r="J2" s="35" t="inlineStr">
        <is>
          <t>Run the same migration once on the production server.</t>
        </is>
      </c>
      <c r="K2" s="35" t="inlineStr">
        <is>
          <t>hooks.py; patches.txt</t>
        </is>
      </c>
      <c r="L2" s="34" t="inlineStr">
        <is>
          <t>21 Oct 2026</t>
        </is>
      </c>
    </row>
    <row r="3">
      <c r="A3" s="33" t="inlineStr">
        <is>
          <t>HR-02</t>
        </is>
      </c>
      <c r="B3" s="34" t="inlineStr">
        <is>
          <t>Master data</t>
        </is>
      </c>
      <c r="C3" s="35" t="inlineStr">
        <is>
          <t>Ministry lookup codes and validation</t>
        </is>
      </c>
      <c r="D3" s="34" t="inlineStr">
        <is>
          <t>19 Oct 2026</t>
        </is>
      </c>
      <c r="E3" s="34" t="inlineStr">
        <is>
          <t>Done</t>
        </is>
      </c>
      <c r="F3" s="34" t="inlineStr">
        <is>
          <t>Abdul Hakeem</t>
        </is>
      </c>
      <c r="G3" s="34" t="inlineStr">
        <is>
          <t>Abdul Hakeem</t>
        </is>
      </c>
      <c r="H3" s="34" t="inlineStr">
        <is>
          <t>High</t>
        </is>
      </c>
      <c r="I3" s="35" t="inlineStr">
        <is>
          <t>9,867 Ministry codes loaded from the Arabic and Translated workbooks, every code with Arabic and English names (before: 8,330 showed the code as their name). Loaded automatically on migrate. Demo codes remapped and removed.</t>
        </is>
      </c>
      <c r="J3" s="35" t="inlineStr">
        <is>
          <t>None.</t>
        </is>
      </c>
      <c r="K3" s="35" t="inlineStr">
        <is>
          <t>277442b; ministry_codes.py; data/ministry_codes.csv</t>
        </is>
      </c>
      <c r="L3" s="34" t="inlineStr">
        <is>
          <t>21 Oct 2026</t>
        </is>
      </c>
    </row>
    <row r="4">
      <c r="A4" s="33" t="inlineStr">
        <is>
          <t>HR-03</t>
        </is>
      </c>
      <c r="B4" s="34" t="inlineStr">
        <is>
          <t>Master data</t>
        </is>
      </c>
      <c r="C4" s="35" t="inlineStr">
        <is>
          <t>Institute hierarchy and facility records</t>
        </is>
      </c>
      <c r="D4" s="34" t="inlineStr">
        <is>
          <t>Earlier (May – 5 Oct 2026)</t>
        </is>
      </c>
      <c r="E4" s="34" t="inlineStr">
        <is>
          <t>Pending – data / setup</t>
        </is>
      </c>
      <c r="F4" s="34" t="inlineStr">
        <is>
          <t>HR</t>
        </is>
      </c>
      <c r="G4" s="34" t="inlineStr">
        <is>
          <t>HR</t>
        </is>
      </c>
      <c r="H4" s="34" t="inlineStr">
        <is>
          <t>Medium</t>
        </is>
      </c>
      <c r="I4" s="35" t="inlineStr">
        <is>
          <t>Branch, Agency, Deanery, College, Academic Department and Facility doctypes exist and are linked to Employee/Instructor.</t>
        </is>
      </c>
      <c r="J4" s="35" t="inlineStr">
        <is>
          <t>HR to enter the real hierarchy and confirm employee placement.</t>
        </is>
      </c>
      <c r="K4" s="35" t="inlineStr">
        <is>
          <t>create_institute_doctypes.py; create_facility_doctype.py</t>
        </is>
      </c>
      <c r="L4" s="34" t="inlineStr">
        <is>
          <t>21 Oct 2026</t>
        </is>
      </c>
    </row>
    <row r="5">
      <c r="A5" s="33" t="inlineStr">
        <is>
          <t>HR-04</t>
        </is>
      </c>
      <c r="B5" s="34" t="inlineStr">
        <is>
          <t>Registration</t>
        </is>
      </c>
      <c r="C5" s="35" t="inlineStr">
        <is>
          <t>Job-level setup</t>
        </is>
      </c>
      <c r="D5" s="34" t="inlineStr">
        <is>
          <t>Earlier (May – 5 Oct 2026)</t>
        </is>
      </c>
      <c r="E5" s="34" t="inlineStr">
        <is>
          <t>In progress</t>
        </is>
      </c>
      <c r="F5" s="34" t="inlineStr">
        <is>
          <t>Abdul Hakeem</t>
        </is>
      </c>
      <c r="G5" s="34" t="inlineStr">
        <is>
          <t>Fathir</t>
        </is>
      </c>
      <c r="H5" s="34" t="inlineStr">
        <is>
          <t>Medium</t>
        </is>
      </c>
      <c r="I5" s="35" t="inlineStr">
        <is>
          <t>Assigned to Dinesh first (commits 2–5 Oct); now assigned to Fathir.</t>
        </is>
      </c>
      <c r="J5" s="35" t="inlineStr">
        <is>
          <t>Fathir to report the scope done and what remains.</t>
        </is>
      </c>
      <c r="K5" s="35" t="inlineStr">
        <is>
          <t>HRM_TASK_TRACKER.md</t>
        </is>
      </c>
      <c r="L5" s="34" t="inlineStr">
        <is>
          <t>23 Oct 2026</t>
        </is>
      </c>
    </row>
    <row r="6">
      <c r="A6" s="33" t="inlineStr">
        <is>
          <t>HR-05</t>
        </is>
      </c>
      <c r="B6" s="34" t="inlineStr">
        <is>
          <t>Registration</t>
        </is>
      </c>
      <c r="C6" s="35" t="inlineStr">
        <is>
          <t>Employee registration</t>
        </is>
      </c>
      <c r="D6" s="34" t="inlineStr">
        <is>
          <t>19 Oct 2026</t>
        </is>
      </c>
      <c r="E6" s="34" t="inlineStr">
        <is>
          <t>In progress</t>
        </is>
      </c>
      <c r="F6" s="34" t="inlineStr">
        <is>
          <t>Abdul Hakeem</t>
        </is>
      </c>
      <c r="G6" s="34" t="inlineStr">
        <is>
          <t>Fathir</t>
        </is>
      </c>
      <c r="H6" s="34" t="inlineStr">
        <is>
          <t>High</t>
        </is>
      </c>
      <c r="I6" s="35" t="inlineStr">
        <is>
          <t>Ministry identity rules added (national ID 10 digits starting 1 for Saudis, Iqama 10 digits starting 2) and duplicates blocked (same identity number, home ID or job number). Mandatory Ministry fields enforced on save.</t>
        </is>
      </c>
      <c r="J6" s="35" t="inlineStr">
        <is>
          <t>Fathir (assigned) to confirm the remaining registration scope; complete the EMP-00001 demo record (HR-53).</t>
        </is>
      </c>
      <c r="K6" s="35" t="inlineStr">
        <is>
          <t>1f88c78; ministry_lookup_validation.py</t>
        </is>
      </c>
      <c r="L6" s="34" t="inlineStr">
        <is>
          <t>23 Oct 2026</t>
        </is>
      </c>
    </row>
    <row r="7">
      <c r="A7" s="33" t="inlineStr">
        <is>
          <t>HR-06</t>
        </is>
      </c>
      <c r="B7" s="34" t="inlineStr">
        <is>
          <t>Recruitment</t>
        </is>
      </c>
      <c r="C7" s="35" t="inlineStr">
        <is>
          <t>Job Applicant to Employee transfer</t>
        </is>
      </c>
      <c r="D7" s="34" t="inlineStr">
        <is>
          <t>19 Oct 2026</t>
        </is>
      </c>
      <c r="E7" s="34" t="inlineStr">
        <is>
          <t>Done – client UAT pending</t>
        </is>
      </c>
      <c r="F7" s="34" t="inlineStr">
        <is>
          <t>Abdul Hakeem</t>
        </is>
      </c>
      <c r="G7" s="34" t="inlineStr">
        <is>
          <t>Dinesh</t>
        </is>
      </c>
      <c r="H7" s="34" t="inlineStr">
        <is>
          <t>High</t>
        </is>
      </c>
      <c r="I7" s="35" t="inlineStr">
        <is>
          <t>Designed and built by Abdul Hakeem, with parts assigned to Dinesh; the form's UI is now assigned to Fathir (HR-70). Public application form -&gt; Accept -&gt; Create Employee tested in the browser on 19, 20 and 21 Oct. Creates Employee, login, Instructor / Academic Advisor / HOD records by role. Lost fields fixed on 20 Oct (HR-44).</t>
        </is>
      </c>
      <c r="J7" s="35" t="inlineStr">
        <is>
          <t>HR to run one real hire on the test site.</t>
        </is>
      </c>
      <c r="K7" s="35" t="inlineStr">
        <is>
          <t>job_application.py; 8390598</t>
        </is>
      </c>
      <c r="L7" s="34" t="inlineStr">
        <is>
          <t>23 Oct 2026</t>
        </is>
      </c>
    </row>
    <row r="8">
      <c r="A8" s="33" t="inlineStr">
        <is>
          <t>HR-07</t>
        </is>
      </c>
      <c r="B8" s="34" t="inlineStr">
        <is>
          <t>Registration</t>
        </is>
      </c>
      <c r="C8" s="35" t="inlineStr">
        <is>
          <t>Qualifications, experience and Ministry profile fields</t>
        </is>
      </c>
      <c r="D8" s="34" t="inlineStr">
        <is>
          <t>20 Oct 2026</t>
        </is>
      </c>
      <c r="E8" s="34" t="inlineStr">
        <is>
          <t>Done</t>
        </is>
      </c>
      <c r="F8" s="34" t="inlineStr">
        <is>
          <t>Abdul Hakeem</t>
        </is>
      </c>
      <c r="G8" s="34" t="inlineStr">
        <is>
          <t>Abdul Hakeem</t>
        </is>
      </c>
      <c r="H8" s="34" t="inlineStr">
        <is>
          <t>High</t>
        </is>
      </c>
      <c r="I8" s="35" t="inlineStr">
        <is>
          <t>Jameah child tables (qualifications, academic experience, previous experience, training, awards, publications) on Employee. 'Appreciation' fixed to use the Ministry grade list on 20 Oct. These feed the Jameah Employee views.</t>
        </is>
      </c>
      <c r="J8" s="35" t="inlineStr">
        <is>
          <t>None.</t>
        </is>
      </c>
      <c r="K8" s="35" t="inlineStr">
        <is>
          <t>setup_employee_ministry_expected_fields.py; d690cb7</t>
        </is>
      </c>
      <c r="L8" s="34" t="inlineStr">
        <is>
          <t>21 Oct 2026</t>
        </is>
      </c>
    </row>
    <row r="9">
      <c r="A9" s="33" t="inlineStr">
        <is>
          <t>HR-08</t>
        </is>
      </c>
      <c r="B9" s="34" t="inlineStr">
        <is>
          <t>HR dashboard</t>
        </is>
      </c>
      <c r="C9" s="35" t="inlineStr">
        <is>
          <t>HR dashboard and leave-management shortcuts</t>
        </is>
      </c>
      <c r="D9" s="34" t="inlineStr">
        <is>
          <t>20 Oct 2026</t>
        </is>
      </c>
      <c r="E9" s="34" t="inlineStr">
        <is>
          <t>Done – client UAT pending</t>
        </is>
      </c>
      <c r="F9" s="34" t="inlineStr">
        <is>
          <t>Abdul Hakeem</t>
        </is>
      </c>
      <c r="G9" s="34" t="inlineStr">
        <is>
          <t>Abdul Hakeem</t>
        </is>
      </c>
      <c r="H9" s="34" t="inlineStr">
        <is>
          <t>High</t>
        </is>
      </c>
      <c r="I9" s="35" t="inlineStr">
        <is>
          <t>Every dashboard link opens without an error (browser test HRD-03, 21 Oct). Counts fixed on 19 Oct. Academic Presence and Jameah sections added. 22 Oct: Leave section - setup check per company, Sick Leave card, daily leave counts and the yearly setup steps in order (LV-06).</t>
        </is>
      </c>
      <c r="J9" s="35" t="inlineStr">
        <is>
          <t>HR UAT.</t>
        </is>
      </c>
      <c r="K9" s="35" t="inlineStr">
        <is>
          <t>page/hr_dashboard</t>
        </is>
      </c>
      <c r="L9" s="34" t="inlineStr">
        <is>
          <t>22 Oct 2026</t>
        </is>
      </c>
    </row>
    <row r="10">
      <c r="A10" s="33" t="inlineStr">
        <is>
          <t>HR-09</t>
        </is>
      </c>
      <c r="B10" s="34" t="inlineStr">
        <is>
          <t>Self-service</t>
        </is>
      </c>
      <c r="C10" s="35" t="inlineStr">
        <is>
          <t>Employee self-service dashboard</t>
        </is>
      </c>
      <c r="D10" s="34" t="inlineStr">
        <is>
          <t>20 Oct 2026</t>
        </is>
      </c>
      <c r="E10" s="34" t="inlineStr">
        <is>
          <t>Done – client UAT pending</t>
        </is>
      </c>
      <c r="F10" s="34" t="inlineStr">
        <is>
          <t>Abdul Hakeem</t>
        </is>
      </c>
      <c r="G10" s="34" t="inlineStr">
        <is>
          <t>Abdul Hakeem</t>
        </is>
      </c>
      <c r="H10" s="34" t="inlineStr">
        <is>
          <t>High</t>
        </is>
      </c>
      <c r="I10" s="35" t="inlineStr">
        <is>
          <t>All request types, leave request, details view and counters tested in the browser (ESS-01..17). 22 Oct: 11 cards, the three leave cards first (Leave Plan, Leave Application, Leave Return), and a My Leave panel that says what to do next (LV-01..05).</t>
        </is>
      </c>
      <c r="J10" s="35" t="inlineStr">
        <is>
          <t>Employee UAT, including on a phone.</t>
        </is>
      </c>
      <c r="K10" s="35" t="inlineStr">
        <is>
          <t>page/employee_dashboard</t>
        </is>
      </c>
      <c r="L10" s="34" t="inlineStr">
        <is>
          <t>22 Oct 2026</t>
        </is>
      </c>
    </row>
    <row r="11">
      <c r="A11" s="33" t="inlineStr">
        <is>
          <t>HR-10</t>
        </is>
      </c>
      <c r="B11" s="34" t="inlineStr">
        <is>
          <t>HR dashboard</t>
        </is>
      </c>
      <c r="C11" s="35" t="inlineStr">
        <is>
          <t>Custom workspace styling</t>
        </is>
      </c>
      <c r="D11" s="34" t="inlineStr">
        <is>
          <t>Earlier (May – 5 Oct 2026)</t>
        </is>
      </c>
      <c r="E11" s="34" t="inlineStr">
        <is>
          <t>Done – client UAT pending</t>
        </is>
      </c>
      <c r="F11" s="34" t="inlineStr">
        <is>
          <t>Abdul Hakeem</t>
        </is>
      </c>
      <c r="G11" s="34" t="inlineStr">
        <is>
          <t>Abdul Hakeem</t>
        </is>
      </c>
      <c r="H11" s="34" t="inlineStr">
        <is>
          <t>Low</t>
        </is>
      </c>
      <c r="I11" s="35" t="inlineStr">
        <is>
          <t>Workspace renders (browser test HRD-04).</t>
        </is>
      </c>
      <c r="J11" s="35" t="inlineStr">
        <is>
          <t>Check long labels and mobile layout during UAT.</t>
        </is>
      </c>
      <c r="K11" s="35" t="inlineStr">
        <is>
          <t>public/css/workspace_theme.css</t>
        </is>
      </c>
      <c r="L11" s="34" t="inlineStr">
        <is>
          <t>21 Oct 2026</t>
        </is>
      </c>
    </row>
    <row r="12">
      <c r="A12" s="33" t="inlineStr">
        <is>
          <t>HR-11</t>
        </is>
      </c>
      <c r="B12" s="34" t="inlineStr">
        <is>
          <t>Self-service</t>
        </is>
      </c>
      <c r="C12" s="35" t="inlineStr">
        <is>
          <t>Self-service in Instructor, HOD and other staff dashboards</t>
        </is>
      </c>
      <c r="D12" s="34" t="inlineStr">
        <is>
          <t>—</t>
        </is>
      </c>
      <c r="E12" s="34" t="inlineStr">
        <is>
          <t>Planned</t>
        </is>
      </c>
      <c r="F12" s="34" t="inlineStr">
        <is>
          <t>Abdul Hakeem</t>
        </is>
      </c>
      <c r="G12" s="34" t="inlineStr">
        <is>
          <t>Abdul Hakeem</t>
        </is>
      </c>
      <c r="H12" s="34" t="inlineStr">
        <is>
          <t>High</t>
        </is>
      </c>
      <c r="I12" s="35" t="inlineStr">
        <is>
          <t>Not started. Instructors with an Employee record can already use /app/employee-dashboard.</t>
        </is>
      </c>
      <c r="J12" s="35" t="inlineStr">
        <is>
          <t>Add the request and leave cards to the Instructor / HOD dashboards from Medical HRMS (page scripts in this app).</t>
        </is>
      </c>
      <c r="K12" s="35" t="inlineStr">
        <is>
          <t>HRM_TASK_TRACKER.md</t>
        </is>
      </c>
      <c r="L12" s="34" t="inlineStr">
        <is>
          <t>23 Oct 2026</t>
        </is>
      </c>
    </row>
    <row r="13">
      <c r="A13" s="33" t="inlineStr">
        <is>
          <t>HR-12</t>
        </is>
      </c>
      <c r="B13" s="34" t="inlineStr">
        <is>
          <t>Security</t>
        </is>
      </c>
      <c r="C13" s="35" t="inlineStr">
        <is>
          <t>HR roles, workspace visibility and login routing</t>
        </is>
      </c>
      <c r="D13" s="34" t="inlineStr">
        <is>
          <t>21 Oct 2026</t>
        </is>
      </c>
      <c r="E13" s="34" t="inlineStr">
        <is>
          <t>Done</t>
        </is>
      </c>
      <c r="F13" s="34" t="inlineStr">
        <is>
          <t>Abdul Hakeem</t>
        </is>
      </c>
      <c r="G13" s="34" t="inlineStr">
        <is>
          <t>Abdul Hakeem</t>
        </is>
      </c>
      <c r="H13" s="34" t="inlineStr">
        <is>
          <t>High</t>
        </is>
      </c>
      <c r="I13" s="35" t="inlineStr">
        <is>
          <t>HR Manager / HR User now land on the HR Dashboard after login, employees on the Employee Dashboard; users with their own portal (Instructor, Student ...) keep it (fix 21 Oct, browser-tested).</t>
        </is>
      </c>
      <c r="J13" s="35" t="inlineStr">
        <is>
          <t>Deploy (HR-58).</t>
        </is>
      </c>
      <c r="K13" s="35" t="inlineStr">
        <is>
          <t>1ee80cd; login_redirect.py</t>
        </is>
      </c>
      <c r="L13" s="34" t="inlineStr">
        <is>
          <t>23 Oct 2026</t>
        </is>
      </c>
    </row>
    <row r="14">
      <c r="A14" s="33" t="inlineStr">
        <is>
          <t>HR-13</t>
        </is>
      </c>
      <c r="B14" s="34" t="inlineStr">
        <is>
          <t>Security</t>
        </is>
      </c>
      <c r="C14" s="35" t="inlineStr">
        <is>
          <t>Own-record access and protected employee identity</t>
        </is>
      </c>
      <c r="D14" s="34" t="inlineStr">
        <is>
          <t>20 Oct 2026</t>
        </is>
      </c>
      <c r="E14" s="34" t="inlineStr">
        <is>
          <t>Done</t>
        </is>
      </c>
      <c r="F14" s="34" t="inlineStr">
        <is>
          <t>Abdul Hakeem</t>
        </is>
      </c>
      <c r="G14" s="34" t="inlineStr">
        <is>
          <t>Abdul Hakeem</t>
        </is>
      </c>
      <c r="H14" s="34" t="inlineStr">
        <is>
          <t>High</t>
        </is>
      </c>
      <c r="I14" s="35" t="inlineStr">
        <is>
          <t>12 security tests pass (SEC-01..12): employees see only their own requests, records, licences and files; cannot approve, spoof or file HR-only requests.</t>
        </is>
      </c>
      <c r="J14" s="35" t="inlineStr">
        <is>
          <t>None.</t>
        </is>
      </c>
      <c r="K14" s="35" t="inlineStr">
        <is>
          <t>employee_permissions.py; self_service.py</t>
        </is>
      </c>
      <c r="L14" s="34" t="inlineStr">
        <is>
          <t>21 Oct 2026</t>
        </is>
      </c>
    </row>
    <row r="15">
      <c r="A15" s="33" t="inlineStr">
        <is>
          <t>HR-14</t>
        </is>
      </c>
      <c r="B15" s="34" t="inlineStr">
        <is>
          <t>Self-service</t>
        </is>
      </c>
      <c r="C15" s="35" t="inlineStr">
        <is>
          <t>Customized employee request forms</t>
        </is>
      </c>
      <c r="D15" s="34" t="inlineStr">
        <is>
          <t>20 Oct 2026</t>
        </is>
      </c>
      <c r="E15" s="34" t="inlineStr">
        <is>
          <t>Done – client UAT pending</t>
        </is>
      </c>
      <c r="F15" s="34" t="inlineStr">
        <is>
          <t>Abdul Hakeem</t>
        </is>
      </c>
      <c r="G15" s="34" t="inlineStr">
        <is>
          <t>Abdul Hakeem</t>
        </is>
      </c>
      <c r="H15" s="34" t="inlineStr">
        <is>
          <t>High</t>
        </is>
      </c>
      <c r="I15" s="35" t="inlineStr">
        <is>
          <t>Each form's required fields, private attachment upload and sending tested in the browser.</t>
        </is>
      </c>
      <c r="J15" s="35" t="inlineStr">
        <is>
          <t>HR UAT of the wording on each form.</t>
        </is>
      </c>
      <c r="K15" s="35" t="inlineStr">
        <is>
          <t>self_service.py</t>
        </is>
      </c>
      <c r="L15" s="34" t="inlineStr">
        <is>
          <t>21 Oct 2026</t>
        </is>
      </c>
    </row>
    <row r="16">
      <c r="A16" s="33" t="inlineStr">
        <is>
          <t>HR-15</t>
        </is>
      </c>
      <c r="B16" s="34" t="inlineStr">
        <is>
          <t>Self-service</t>
        </is>
      </c>
      <c r="C16" s="35" t="inlineStr">
        <is>
          <t>Request details and easier time selection</t>
        </is>
      </c>
      <c r="D16" s="34" t="inlineStr">
        <is>
          <t>20 Oct 2026</t>
        </is>
      </c>
      <c r="E16" s="34" t="inlineStr">
        <is>
          <t>Done</t>
        </is>
      </c>
      <c r="F16" s="34" t="inlineStr">
        <is>
          <t>Abdul Hakeem</t>
        </is>
      </c>
      <c r="G16" s="34" t="inlineStr">
        <is>
          <t>Abdul Hakeem</t>
        </is>
      </c>
      <c r="H16" s="34" t="inlineStr">
        <is>
          <t>Medium</t>
        </is>
      </c>
      <c r="I16" s="35" t="inlineStr">
        <is>
          <t>Hour/minute/AM-PM picker saves correct times (10:15–11:45 test); incomplete time refused; details dialog shows saved values.</t>
        </is>
      </c>
      <c r="J16" s="35" t="inlineStr">
        <is>
          <t>None.</t>
        </is>
      </c>
      <c r="K16" s="35" t="inlineStr">
        <is>
          <t>employee_dashboard.js</t>
        </is>
      </c>
      <c r="L16" s="34" t="inlineStr">
        <is>
          <t>21 Oct 2026</t>
        </is>
      </c>
    </row>
    <row r="17">
      <c r="A17" s="33" t="inlineStr">
        <is>
          <t>HR-16</t>
        </is>
      </c>
      <c r="B17" s="34" t="inlineStr">
        <is>
          <t>Self-service</t>
        </is>
      </c>
      <c r="C17" s="35" t="inlineStr">
        <is>
          <t>Resume drafts and resubmit rejected requests</t>
        </is>
      </c>
      <c r="D17" s="34" t="inlineStr">
        <is>
          <t>—</t>
        </is>
      </c>
      <c r="E17" s="34" t="inlineStr">
        <is>
          <t>Pending – development</t>
        </is>
      </c>
      <c r="F17" s="34" t="inlineStr">
        <is>
          <t>Abdul Hakeem</t>
        </is>
      </c>
      <c r="G17" s="34" t="inlineStr">
        <is>
          <t>Abdul Hakeem</t>
        </is>
      </c>
      <c r="H17" s="34" t="inlineStr">
        <is>
          <t>Medium</t>
        </is>
      </c>
      <c r="I17" s="35" t="inlineStr">
        <is>
          <t>Drafts can be saved; employees cannot edit sent requests.</t>
        </is>
      </c>
      <c r="J17" s="35" t="inlineStr">
        <is>
          <t>Let employees open their draft and send it; allow resubmitting a rejected request as a new one with history.</t>
        </is>
      </c>
      <c r="K17" s="35" t="inlineStr">
        <is>
          <t>HRM_UAT_SCENARIOS.md #3</t>
        </is>
      </c>
      <c r="L17" s="34" t="inlineStr">
        <is>
          <t>21 Oct 2026</t>
        </is>
      </c>
    </row>
    <row r="18">
      <c r="A18" s="33" t="inlineStr">
        <is>
          <t>HR-17</t>
        </is>
      </c>
      <c r="B18" s="34" t="inlineStr">
        <is>
          <t>Self-service</t>
        </is>
      </c>
      <c r="C18" s="35" t="inlineStr">
        <is>
          <t>Employee data correction: approval and apply to Employee</t>
        </is>
      </c>
      <c r="D18" s="34" t="inlineStr">
        <is>
          <t>—</t>
        </is>
      </c>
      <c r="E18" s="34" t="inlineStr">
        <is>
          <t>Pending – development</t>
        </is>
      </c>
      <c r="F18" s="34" t="inlineStr">
        <is>
          <t>Abdul Hakeem + HR</t>
        </is>
      </c>
      <c r="G18" s="34" t="inlineStr">
        <is>
          <t>Abdul Hakeem</t>
        </is>
      </c>
      <c r="H18" s="34" t="inlineStr">
        <is>
          <t>Medium</t>
        </is>
      </c>
      <c r="I18" s="35" t="inlineStr">
        <is>
          <t>Request form and HR status steps exist.</t>
        </is>
      </c>
      <c r="J18" s="35" t="inlineStr">
        <is>
          <t>HR to confirm the steps; apply the approved change to the Employee record with an audit trail.</t>
        </is>
      </c>
      <c r="K18" s="35" t="inlineStr">
        <is>
          <t>Employee Data Update Request</t>
        </is>
      </c>
      <c r="L18" s="34" t="inlineStr">
        <is>
          <t>21 Oct 2026</t>
        </is>
      </c>
    </row>
    <row r="19">
      <c r="A19" s="33" t="inlineStr">
        <is>
          <t>HR-18</t>
        </is>
      </c>
      <c r="B19" s="34" t="inlineStr">
        <is>
          <t>Leave</t>
        </is>
      </c>
      <c r="C19" s="35" t="inlineStr">
        <is>
          <t>Editable leave types and policies on migrate</t>
        </is>
      </c>
      <c r="D19" s="34" t="inlineStr">
        <is>
          <t>Earlier (May – 5 Oct 2026)</t>
        </is>
      </c>
      <c r="E19" s="34" t="inlineStr">
        <is>
          <t>Done</t>
        </is>
      </c>
      <c r="F19" s="34" t="inlineStr">
        <is>
          <t>Abdul Hakeem</t>
        </is>
      </c>
      <c r="G19" s="34" t="inlineStr">
        <is>
          <t>Abdul Hakeem</t>
        </is>
      </c>
      <c r="H19" s="34" t="inlineStr">
        <is>
          <t>Medium</t>
        </is>
      </c>
      <c r="I19" s="35" t="inlineStr">
        <is>
          <t>Migration creates editable starter records and draft policies; 6 unit tests pass.</t>
        </is>
      </c>
      <c r="J19" s="35" t="inlineStr">
        <is>
          <t>HR to confirm final policies.</t>
        </is>
      </c>
      <c r="K19" s="35" t="inlineStr">
        <is>
          <t>setup_leave_defaults.py</t>
        </is>
      </c>
      <c r="L19" s="34" t="inlineStr">
        <is>
          <t>21 Oct 2026</t>
        </is>
      </c>
    </row>
    <row r="20">
      <c r="A20" s="33" t="inlineStr">
        <is>
          <t>HR-19</t>
        </is>
      </c>
      <c r="B20" s="34" t="inlineStr">
        <is>
          <t>Leave</t>
        </is>
      </c>
      <c r="C20" s="35" t="inlineStr">
        <is>
          <t>Leave policy activation and allocations</t>
        </is>
      </c>
      <c r="D20" s="34" t="inlineStr">
        <is>
          <t>20 Oct 2026</t>
        </is>
      </c>
      <c r="E20" s="34" t="inlineStr">
        <is>
          <t>Done – client UAT pending</t>
        </is>
      </c>
      <c r="F20" s="34" t="inlineStr">
        <is>
          <t>Abdul Hakeem + HR</t>
        </is>
      </c>
      <c r="G20" s="34" t="inlineStr">
        <is>
          <t>Abdul Hakeem</t>
        </is>
      </c>
      <c r="H20" s="34" t="inlineStr">
        <is>
          <t>High</t>
        </is>
      </c>
      <c r="I20" s="35" t="inlineStr">
        <is>
          <t>Full leave flow tested in the browser: request -&gt; approver approves and submits -&gt; balance 21 -&gt; 19. 22 Oct: the HR Portal setup check shows, per company, a missing leave period, holiday list, leave approvers or annual leave.</t>
        </is>
      </c>
      <c r="J20" s="35" t="inlineStr">
        <is>
          <t>Set real policies and allocations for the real company (HR-69).</t>
        </is>
      </c>
      <c r="K20" s="35" t="inlineStr">
        <is>
          <t>setup_local_leave_demo.py; hr_dashboard.get_leave_overview</t>
        </is>
      </c>
      <c r="L20" s="34" t="inlineStr">
        <is>
          <t>22 Oct 2026</t>
        </is>
      </c>
    </row>
    <row r="21">
      <c r="A21" s="33" t="inlineStr">
        <is>
          <t>HR-20</t>
        </is>
      </c>
      <c r="B21" s="34" t="inlineStr">
        <is>
          <t>Leave</t>
        </is>
      </c>
      <c r="C21" s="35" t="inlineStr">
        <is>
          <t>Sick leave year and pay-stage controls</t>
        </is>
      </c>
      <c r="D21" s="34" t="inlineStr">
        <is>
          <t>Earlier (May – 5 Oct 2026)</t>
        </is>
      </c>
      <c r="E21" s="34" t="inlineStr">
        <is>
          <t>Done – client UAT pending</t>
        </is>
      </c>
      <c r="F21" s="34" t="inlineStr">
        <is>
          <t>Abdul Hakeem + HR</t>
        </is>
      </c>
      <c r="G21" s="34" t="inlineStr">
        <is>
          <t>Abdul Hakeem</t>
        </is>
      </c>
      <c r="H21" s="34" t="inlineStr">
        <is>
          <t>High</t>
        </is>
      </c>
      <c r="I21" s="35" t="inlineStr">
        <is>
          <t>6 unit tests pass (stages, overlaps, caps). 22 Oct: the stages are named in pay order - Sick Leave 1 - Full Pay (30 days), 2 - 75% Pay (60), 3 - Unpaid (30) - by a migration patch that keeps balances and history; every screen and message says 'Sick Leave'; HR button 'Start Sick Leave Year'.</t>
        </is>
      </c>
      <c r="J21" s="35" t="inlineStr">
        <is>
          <t>HR to review stage rules; Finance to review payroll effect.</t>
        </is>
      </c>
      <c r="K21" s="35" t="inlineStr">
        <is>
          <t>medical_leave.py</t>
        </is>
      </c>
      <c r="L21" s="34" t="inlineStr">
        <is>
          <t>22 Oct 2026</t>
        </is>
      </c>
    </row>
    <row r="22">
      <c r="A22" s="33" t="inlineStr">
        <is>
          <t>HR-21</t>
        </is>
      </c>
      <c r="B22" s="34" t="inlineStr">
        <is>
          <t>Leave</t>
        </is>
      </c>
      <c r="C22" s="35" t="inlineStr">
        <is>
          <t>Monthly half-day and remote-work limits</t>
        </is>
      </c>
      <c r="D22" s="34" t="inlineStr">
        <is>
          <t>Earlier (May – 5 Oct 2026)</t>
        </is>
      </c>
      <c r="E22" s="34" t="inlineStr">
        <is>
          <t>Done – client UAT pending</t>
        </is>
      </c>
      <c r="F22" s="34" t="inlineStr">
        <is>
          <t>Abdul Hakeem + HR</t>
        </is>
      </c>
      <c r="G22" s="34" t="inlineStr">
        <is>
          <t>Abdul Hakeem</t>
        </is>
      </c>
      <c r="H22" s="34" t="inlineStr">
        <is>
          <t>Medium</t>
        </is>
      </c>
      <c r="I22" s="35" t="inlineStr">
        <is>
          <t>6 unit tests pass. Remote-work limit is currently switched off in HR Settings.</t>
        </is>
      </c>
      <c r="J22" s="35" t="inlineStr">
        <is>
          <t>HR to confirm limits and switch them on.</t>
        </is>
      </c>
      <c r="K22" s="35" t="inlineStr">
        <is>
          <t>monthly_leave_policy.py</t>
        </is>
      </c>
      <c r="L22" s="34" t="inlineStr">
        <is>
          <t>21 Oct 2026</t>
        </is>
      </c>
    </row>
    <row r="23">
      <c r="A23" s="33" t="inlineStr">
        <is>
          <t>HR-22</t>
        </is>
      </c>
      <c r="B23" s="34" t="inlineStr">
        <is>
          <t>Leave</t>
        </is>
      </c>
      <c r="C23" s="35" t="inlineStr">
        <is>
          <t>Employee balances and monthly usage display</t>
        </is>
      </c>
      <c r="D23" s="34" t="inlineStr">
        <is>
          <t>20 Oct 2026</t>
        </is>
      </c>
      <c r="E23" s="34" t="inlineStr">
        <is>
          <t>Done</t>
        </is>
      </c>
      <c r="F23" s="34" t="inlineStr">
        <is>
          <t>Abdul Hakeem</t>
        </is>
      </c>
      <c r="G23" s="34" t="inlineStr">
        <is>
          <t>Abdul Hakeem</t>
        </is>
      </c>
      <c r="H23" s="34" t="inlineStr">
        <is>
          <t>Medium</t>
        </is>
      </c>
      <c r="I23" s="35" t="inlineStr">
        <is>
          <t>Balance updates after approval (browser test APR-05). 22 Oct: the balances table shows Allocated / Taken / Waiting for approval / Left, and this month's half-day and work-from-home use.</t>
        </is>
      </c>
      <c r="J23" s="35" t="inlineStr">
        <is>
          <t>None.</t>
        </is>
      </c>
      <c r="K23" s="35" t="inlineStr">
        <is>
          <t>employee_dashboard.py</t>
        </is>
      </c>
      <c r="L23" s="34" t="inlineStr">
        <is>
          <t>22 Oct 2026</t>
        </is>
      </c>
    </row>
    <row r="24">
      <c r="A24" s="33" t="inlineStr">
        <is>
          <t>HR-68</t>
        </is>
      </c>
      <c r="B24" s="34" t="inlineStr">
        <is>
          <t>Leave</t>
        </is>
      </c>
      <c r="C24" s="35" t="inlineStr">
        <is>
          <t>Leave as one flow: plan -&gt; apply -&gt; approve -&gt; return</t>
        </is>
      </c>
      <c r="D24" s="34" t="inlineStr">
        <is>
          <t>22 Oct 2026</t>
        </is>
      </c>
      <c r="E24" s="34" t="inlineStr">
        <is>
          <t>Done – client UAT pending</t>
        </is>
      </c>
      <c r="F24" s="34" t="inlineStr">
        <is>
          <t>Abdul Hakeem</t>
        </is>
      </c>
      <c r="G24" s="34" t="inlineStr">
        <is>
          <t>Abdul Hakeem</t>
        </is>
      </c>
      <c r="H24" s="34" t="inlineStr">
        <is>
          <t>High</t>
        </is>
      </c>
      <c r="I24" s="35" t="inlineStr">
        <is>
          <t>The client found the leave part confusing (22 Oct). Now one flow, in this order on the Employee Portal and in the HR menu: (1) Leave Plan - the employee plans dates; manager then department head approve; no balance is used. (2) Leave Application - only leave the employee holds, with the days left ('Annual Leave (21 days left)'), unpaid leave last; 'Apply now' on an approved plan opens it pre-filled and links the application to the plan. (3) Leave Return - the dashboard asks for it once a leave has ended; Expected Back On = the day after the leave; fitness certificate and occupational health only after sick leave; one return per leave, approved leave only. Unused sample types (Casual, Privilege, Compensatory Off, HRMS Sick Leave) hidden from employees. 5 unit tests; browser tests LV-01..07.</t>
        </is>
      </c>
      <c r="J24" s="35" t="inlineStr">
        <is>
          <t>Employee and HR UAT of the leave flow (TC-LV-09..17).</t>
        </is>
      </c>
      <c r="K24" s="35" t="inlineStr">
        <is>
          <t>self_service.py; leave_plan_request; leave_return_request; page/employee_dashboard; page/hr_dashboard</t>
        </is>
      </c>
      <c r="L24" s="34" t="inlineStr">
        <is>
          <t>22 Oct 2026</t>
        </is>
      </c>
    </row>
    <row r="25">
      <c r="A25" s="33" t="inlineStr">
        <is>
          <t>HR-69</t>
        </is>
      </c>
      <c r="B25" s="34" t="inlineStr">
        <is>
          <t>Leave</t>
        </is>
      </c>
      <c r="C25" s="35" t="inlineStr">
        <is>
          <t>Leave setup for the real company (Al Riyada College)</t>
        </is>
      </c>
      <c r="D25" s="34" t="inlineStr">
        <is>
          <t>—</t>
        </is>
      </c>
      <c r="E25" s="34" t="inlineStr">
        <is>
          <t>Pending – data / setup</t>
        </is>
      </c>
      <c r="F25" s="34" t="inlineStr">
        <is>
          <t>HR</t>
        </is>
      </c>
      <c r="G25" s="34" t="inlineStr">
        <is>
          <t>HR</t>
        </is>
      </c>
      <c r="H25" s="34" t="inlineStr">
        <is>
          <t>High</t>
        </is>
      </c>
      <c r="I25" s="35" t="inlineStr">
        <is>
          <t>Found 22 Oct by the new setup check on the development copy: no active leave period and no holiday list for Al Riyada College. (Correction 23 Oct: the '3 of 4 employees without a leave approver / annual leave' counted QA test hires; this copy has no real Al Riyada College staff, so the employee checks must be read on the live server.) Until the setup is done its employees have no leave to apply for.</t>
        </is>
      </c>
      <c r="J25" s="35" t="inlineStr">
        <is>
          <t>On the live server: HR Portal &gt; Leave &gt; Yearly setup, steps 1-6, until the Leave setup check is green (Checklist CL-28 - CL-32).</t>
        </is>
      </c>
      <c r="K25" s="35" t="inlineStr">
        <is>
          <t>HR Portal &gt; Leave setup check</t>
        </is>
      </c>
      <c r="L25" s="34" t="inlineStr">
        <is>
          <t>23 Oct 2026</t>
        </is>
      </c>
    </row>
    <row r="26">
      <c r="A26" s="33" t="inlineStr">
        <is>
          <t>HR-23</t>
        </is>
      </c>
      <c r="B26" s="34" t="inlineStr">
        <is>
          <t>Leave</t>
        </is>
      </c>
      <c r="C26" s="35" t="inlineStr">
        <is>
          <t>Carry-forward, service eligibility and holiday calendar</t>
        </is>
      </c>
      <c r="D26" s="34" t="inlineStr">
        <is>
          <t>—</t>
        </is>
      </c>
      <c r="E26" s="34" t="inlineStr">
        <is>
          <t>Pending – decision needed</t>
        </is>
      </c>
      <c r="F26" s="34" t="inlineStr">
        <is>
          <t>HR</t>
        </is>
      </c>
      <c r="G26" s="34" t="inlineStr">
        <is>
          <t>HR</t>
        </is>
      </c>
      <c r="H26" s="34" t="inlineStr">
        <is>
          <t>Medium</t>
        </is>
      </c>
      <c r="I26" s="35" t="inlineStr">
        <is>
          <t>Demo weekend calendar only.</t>
        </is>
      </c>
      <c r="J26" s="35" t="inlineStr">
        <is>
          <t>HR to give official holidays and carry-forward rules; set the Academic Holiday List in HR Settings.</t>
        </is>
      </c>
      <c r="K26" s="35" t="inlineStr">
        <is>
          <t>HR Settings</t>
        </is>
      </c>
      <c r="L26" s="34" t="inlineStr">
        <is>
          <t>21 Oct 2026</t>
        </is>
      </c>
    </row>
    <row r="27">
      <c r="A27" s="33" t="inlineStr">
        <is>
          <t>HR-24</t>
        </is>
      </c>
      <c r="B27" s="34" t="inlineStr">
        <is>
          <t>Approvals</t>
        </is>
      </c>
      <c r="C27" s="35" t="inlineStr">
        <is>
          <t>Manager, HR and Finance approval routing</t>
        </is>
      </c>
      <c r="D27" s="34" t="inlineStr">
        <is>
          <t>19 Oct 2026</t>
        </is>
      </c>
      <c r="E27" s="34" t="inlineStr">
        <is>
          <t>In progress</t>
        </is>
      </c>
      <c r="F27" s="34" t="inlineStr">
        <is>
          <t>Abdul Hakeem + HR/Finance</t>
        </is>
      </c>
      <c r="G27" s="34" t="inlineStr">
        <is>
          <t>Abdul Hakeem</t>
        </is>
      </c>
      <c r="H27" s="34" t="inlineStr">
        <is>
          <t>High</t>
        </is>
      </c>
      <c r="I27" s="35" t="inlineStr">
        <is>
          <t>Finance roles fixed on 19 Oct (Finance Manager or Accounts Manager accepted). HR approve/reject/issue tested.</t>
        </is>
      </c>
      <c r="J27" s="35" t="inlineStr">
        <is>
          <t>Agree the approver per step with HR and Finance; build the workflow; label amounts in SAR (some messages say AED).</t>
        </is>
      </c>
      <c r="K27" s="35" t="inlineStr">
        <is>
          <t>overrides/; HRM_APPROVAL_MATRIX.md</t>
        </is>
      </c>
      <c r="L27" s="34" t="inlineStr">
        <is>
          <t>21 Oct 2026</t>
        </is>
      </c>
    </row>
    <row r="28">
      <c r="A28" s="33" t="inlineStr">
        <is>
          <t>HR-25</t>
        </is>
      </c>
      <c r="B28" s="34" t="inlineStr">
        <is>
          <t>Approvals</t>
        </is>
      </c>
      <c r="C28" s="35" t="inlineStr">
        <is>
          <t>Notifications, rejection reasons and audit trail</t>
        </is>
      </c>
      <c r="D28" s="34" t="inlineStr">
        <is>
          <t>—</t>
        </is>
      </c>
      <c r="E28" s="34" t="inlineStr">
        <is>
          <t>Pending – development</t>
        </is>
      </c>
      <c r="F28" s="34" t="inlineStr">
        <is>
          <t>Abdul Hakeem + HR</t>
        </is>
      </c>
      <c r="G28" s="34" t="inlineStr">
        <is>
          <t>Abdul Hakeem</t>
        </is>
      </c>
      <c r="H28" s="34" t="inlineStr">
        <is>
          <t>Medium</t>
        </is>
      </c>
      <c r="I28" s="35" t="inlineStr">
        <is>
          <t>Changes are tracked (track_changes). E-mail sending fails on this copy (HR-47).</t>
        </is>
      </c>
      <c r="J28" s="35" t="inlineStr">
        <is>
          <t>Add rejection reason; send submit/approve/reject e-mails once the mail account works.</t>
        </is>
      </c>
      <c r="K28" s="35" t="inlineStr">
        <is>
          <t>HRM_UAT_SCENARIOS.md</t>
        </is>
      </c>
      <c r="L28" s="34" t="inlineStr">
        <is>
          <t>21 Oct 2026</t>
        </is>
      </c>
    </row>
    <row r="29">
      <c r="A29" s="33" t="inlineStr">
        <is>
          <t>HR-26</t>
        </is>
      </c>
      <c r="B29" s="34" t="inlineStr">
        <is>
          <t>Compliance</t>
        </is>
      </c>
      <c r="C29" s="35" t="inlineStr">
        <is>
          <t>Medical licences, contract renewal and separation</t>
        </is>
      </c>
      <c r="D29" s="34" t="inlineStr">
        <is>
          <t>20 Oct 2026</t>
        </is>
      </c>
      <c r="E29" s="34" t="inlineStr">
        <is>
          <t>Done – client UAT pending</t>
        </is>
      </c>
      <c r="F29" s="34" t="inlineStr">
        <is>
          <t>Abdul Hakeem</t>
        </is>
      </c>
      <c r="G29" s="34" t="inlineStr">
        <is>
          <t>Abdul Hakeem</t>
        </is>
      </c>
      <c r="H29" s="34" t="inlineStr">
        <is>
          <t>Medium</t>
        </is>
      </c>
      <c r="I29" s="35" t="inlineStr">
        <is>
          <t>Licence creation and own-licence visibility tested (LIC-01/02). Contract renewal is HR-only.</t>
        </is>
      </c>
      <c r="J29" s="35" t="inlineStr">
        <is>
          <t>UAT of expiry reminders and separation.</t>
        </is>
      </c>
      <c r="K29" s="35" t="inlineStr">
        <is>
          <t>Employee Medical License</t>
        </is>
      </c>
      <c r="L29" s="34" t="inlineStr">
        <is>
          <t>21 Oct 2026</t>
        </is>
      </c>
    </row>
    <row r="30">
      <c r="A30" s="33" t="inlineStr">
        <is>
          <t>HR-27</t>
        </is>
      </c>
      <c r="B30" s="34" t="inlineStr">
        <is>
          <t>Integration</t>
        </is>
      </c>
      <c r="C30" s="35" t="inlineStr">
        <is>
          <t>Employee &lt;-&gt; Instructor link</t>
        </is>
      </c>
      <c r="D30" s="34" t="inlineStr">
        <is>
          <t>19 Oct 2026</t>
        </is>
      </c>
      <c r="E30" s="34" t="inlineStr">
        <is>
          <t>Pending – data / setup</t>
        </is>
      </c>
      <c r="F30" s="34" t="inlineStr">
        <is>
          <t>HR</t>
        </is>
      </c>
      <c r="G30" s="34" t="inlineStr">
        <is>
          <t>HR</t>
        </is>
      </c>
      <c r="H30" s="34" t="inlineStr">
        <is>
          <t>High</t>
        </is>
      </c>
      <c r="I30" s="35" t="inlineStr">
        <is>
          <t>Linking tool and HR data sheet done (19 Oct). Only 1 of 216 instructors is linked to an Employee.</t>
        </is>
      </c>
      <c r="J30" s="35" t="inlineStr">
        <is>
          <t>HR fills the Instructor data sheet, then run the import (HR-55).</t>
        </is>
      </c>
      <c r="K30" s="35" t="inlineStr">
        <is>
          <t>link_existing_instructors.py; instructor_data_sheet.py</t>
        </is>
      </c>
      <c r="L30" s="34" t="inlineStr">
        <is>
          <t>21 Oct 2026</t>
        </is>
      </c>
    </row>
    <row r="31">
      <c r="A31" s="33" t="inlineStr">
        <is>
          <t>HR-28</t>
        </is>
      </c>
      <c r="B31" s="34" t="inlineStr">
        <is>
          <t>Integration</t>
        </is>
      </c>
      <c r="C31" s="35" t="inlineStr">
        <is>
          <t>Automatic Employee/Instructor profile sync</t>
        </is>
      </c>
      <c r="D31" s="34" t="inlineStr">
        <is>
          <t>—</t>
        </is>
      </c>
      <c r="E31" s="34" t="inlineStr">
        <is>
          <t>Planned</t>
        </is>
      </c>
      <c r="F31" s="34" t="inlineStr">
        <is>
          <t>Abdul Hakeem</t>
        </is>
      </c>
      <c r="G31" s="34" t="inlineStr">
        <is>
          <t>Abdul Hakeem</t>
        </is>
      </c>
      <c r="H31" s="34" t="inlineStr">
        <is>
          <t>Low</t>
        </is>
      </c>
      <c r="I31" s="35" t="inlineStr">
        <is>
          <t>Not started.</t>
        </is>
      </c>
      <c r="J31" s="35" t="inlineStr">
        <is>
          <t>Decide which record (Employee or Instructor) owns each field, then build the sync in Medical HRMS.</t>
        </is>
      </c>
      <c r="K31" s="35" t="inlineStr">
        <is>
          <t>JAMEAH_HRMS_IMPLEMENTATION_PLAN.md</t>
        </is>
      </c>
      <c r="L31" s="34" t="inlineStr">
        <is>
          <t>23 Oct 2026</t>
        </is>
      </c>
    </row>
    <row r="32">
      <c r="A32" s="33" t="inlineStr">
        <is>
          <t>HR-29</t>
        </is>
      </c>
      <c r="B32" s="34" t="inlineStr">
        <is>
          <t>Payroll</t>
        </is>
      </c>
      <c r="C32" s="35" t="inlineStr">
        <is>
          <t>Payroll inputs and approved-benefit handoff</t>
        </is>
      </c>
      <c r="D32" s="34" t="inlineStr">
        <is>
          <t>—</t>
        </is>
      </c>
      <c r="E32" s="34" t="inlineStr">
        <is>
          <t>Planned</t>
        </is>
      </c>
      <c r="F32" s="34" t="inlineStr">
        <is>
          <t>Abdul Hakeem + Finance</t>
        </is>
      </c>
      <c r="G32" s="34" t="inlineStr">
        <is>
          <t>Abdul Hakeem</t>
        </is>
      </c>
      <c r="H32" s="34" t="inlineStr">
        <is>
          <t>Medium</t>
        </is>
      </c>
      <c r="I32" s="35" t="inlineStr">
        <is>
          <t>Not started.</t>
        </is>
      </c>
      <c r="J32" s="35" t="inlineStr">
        <is>
          <t>Define the handoff with Finance.</t>
        </is>
      </c>
      <c r="K32" s="35" t="inlineStr">
        <is>
          <t>HRM and Finance Module Integration Roadmap.html</t>
        </is>
      </c>
      <c r="L32" s="34" t="inlineStr">
        <is>
          <t>23 Oct 2026</t>
        </is>
      </c>
    </row>
    <row r="33">
      <c r="A33" s="33" t="inlineStr">
        <is>
          <t>HR-30</t>
        </is>
      </c>
      <c r="B33" s="34" t="inlineStr">
        <is>
          <t>Payroll</t>
        </is>
      </c>
      <c r="C33" s="35" t="inlineStr">
        <is>
          <t>Payroll calculations, accounting and reports</t>
        </is>
      </c>
      <c r="D33" s="34" t="inlineStr">
        <is>
          <t>—</t>
        </is>
      </c>
      <c r="E33" s="34" t="inlineStr">
        <is>
          <t>Planned</t>
        </is>
      </c>
      <c r="F33" s="34" t="inlineStr">
        <is>
          <t>Finance + Abdul Hakeem</t>
        </is>
      </c>
      <c r="G33" s="34" t="inlineStr">
        <is>
          <t>Abdul Hakeem</t>
        </is>
      </c>
      <c r="H33" s="34" t="inlineStr">
        <is>
          <t>Medium</t>
        </is>
      </c>
      <c r="I33" s="35" t="inlineStr">
        <is>
          <t>Not started.</t>
        </is>
      </c>
      <c r="J33" s="35" t="inlineStr">
        <is>
          <t>Validate salary slips and partial-pay leave with Finance.</t>
        </is>
      </c>
      <c r="K33" s="35" t="inlineStr">
        <is>
          <t>Roadmap</t>
        </is>
      </c>
      <c r="L33" s="34" t="inlineStr">
        <is>
          <t>23 Oct 2026</t>
        </is>
      </c>
    </row>
    <row r="34">
      <c r="A34" s="33" t="inlineStr">
        <is>
          <t>HR-31</t>
        </is>
      </c>
      <c r="B34" s="34" t="inlineStr">
        <is>
          <t>Testing</t>
        </is>
      </c>
      <c r="C34" s="35" t="inlineStr">
        <is>
          <t>Automated and end-to-end testing</t>
        </is>
      </c>
      <c r="D34" s="34" t="inlineStr">
        <is>
          <t>21 Oct 2026</t>
        </is>
      </c>
      <c r="E34" s="34" t="inlineStr">
        <is>
          <t>Done</t>
        </is>
      </c>
      <c r="F34" s="34" t="inlineStr">
        <is>
          <t>Abdul Hakeem</t>
        </is>
      </c>
      <c r="G34" s="34" t="inlineStr">
        <is>
          <t>Abdul Hakeem</t>
        </is>
      </c>
      <c r="H34" s="34" t="inlineStr">
        <is>
          <t>High</t>
        </is>
      </c>
      <c r="I34" s="35" t="inlineStr">
        <is>
          <t>Browser end-to-end rounds on 19, 20 and 21 Oct (latest: see Test Report). 26 unit tests pass. Jameah views verified value by value.</t>
        </is>
      </c>
      <c r="J34" s="35" t="inlineStr">
        <is>
          <t>Client UAT with the Test Cases workbook.</t>
        </is>
      </c>
      <c r="K34" s="35" t="inlineStr">
        <is>
          <t>Test Report; Test Cases workbook</t>
        </is>
      </c>
      <c r="L34" s="34" t="inlineStr">
        <is>
          <t>21 Oct 2026</t>
        </is>
      </c>
    </row>
    <row r="35">
      <c r="A35" s="33" t="inlineStr">
        <is>
          <t>HR-32</t>
        </is>
      </c>
      <c r="B35" s="34" t="inlineStr">
        <is>
          <t>Documentation</t>
        </is>
      </c>
      <c r="C35" s="35" t="inlineStr">
        <is>
          <t>Documentation and client sign-off</t>
        </is>
      </c>
      <c r="D35" s="34" t="inlineStr">
        <is>
          <t>21 Oct 2026</t>
        </is>
      </c>
      <c r="E35" s="34" t="inlineStr">
        <is>
          <t>In progress</t>
        </is>
      </c>
      <c r="F35" s="34" t="inlineStr">
        <is>
          <t>Abdul Hakeem + HR</t>
        </is>
      </c>
      <c r="G35" s="34" t="inlineStr">
        <is>
          <t>Abdul Hakeem</t>
        </is>
      </c>
      <c r="H35" s="34" t="inlineStr">
        <is>
          <t>Medium</t>
        </is>
      </c>
      <c r="I35" s="35" t="inlineStr">
        <is>
          <t>This tracker, the test cases workbook, the test report, Jameah README and VIEWS mapping.</t>
        </is>
      </c>
      <c r="J35" s="35" t="inlineStr">
        <is>
          <t>HR / Finance sign-off after UAT.</t>
        </is>
      </c>
      <c r="K35" s="35" t="inlineStr">
        <is>
          <t>docs/</t>
        </is>
      </c>
      <c r="L35" s="34" t="inlineStr">
        <is>
          <t>21 Oct 2026</t>
        </is>
      </c>
    </row>
    <row r="36">
      <c r="A36" s="33" t="inlineStr">
        <is>
          <t>HR-33</t>
        </is>
      </c>
      <c r="B36" s="34" t="inlineStr">
        <is>
          <t>Security</t>
        </is>
      </c>
      <c r="C36" s="35" t="inlineStr">
        <is>
          <t>Job applications could grant admin roles</t>
        </is>
      </c>
      <c r="D36" s="34" t="inlineStr">
        <is>
          <t>19 Oct 2026</t>
        </is>
      </c>
      <c r="E36" s="34" t="inlineStr">
        <is>
          <t>Done</t>
        </is>
      </c>
      <c r="F36" s="34" t="inlineStr">
        <is>
          <t>Abdul Hakeem</t>
        </is>
      </c>
      <c r="G36" s="34" t="inlineStr">
        <is>
          <t>Abdul Hakeem</t>
        </is>
      </c>
      <c r="H36" s="34" t="inlineStr">
        <is>
          <t>Critical</t>
        </is>
      </c>
      <c r="I36" s="35" t="inlineStr">
        <is>
          <t>A guest could get System Manager through the public form. Fixed with an allow-list of hireable roles, checked again before conversion.</t>
        </is>
      </c>
      <c r="J36" s="35" t="inlineStr">
        <is>
          <t>None.</t>
        </is>
      </c>
      <c r="K36" s="35" t="inlineStr">
        <is>
          <t>0ab539e</t>
        </is>
      </c>
      <c r="L36" s="34" t="inlineStr">
        <is>
          <t>21 Oct 2026</t>
        </is>
      </c>
    </row>
    <row r="37">
      <c r="A37" s="33" t="inlineStr">
        <is>
          <t>HR-34</t>
        </is>
      </c>
      <c r="B37" s="34" t="inlineStr">
        <is>
          <t>Recruitment</t>
        </is>
      </c>
      <c r="C37" s="35" t="inlineStr">
        <is>
          <t>Each academic hire gets the records its dashboard needs</t>
        </is>
      </c>
      <c r="D37" s="34" t="inlineStr">
        <is>
          <t>19 Oct 2026</t>
        </is>
      </c>
      <c r="E37" s="34" t="inlineStr">
        <is>
          <t>Done</t>
        </is>
      </c>
      <c r="F37" s="34" t="inlineStr">
        <is>
          <t>Abdul Hakeem</t>
        </is>
      </c>
      <c r="G37" s="34" t="inlineStr">
        <is>
          <t>Abdul Hakeem</t>
        </is>
      </c>
      <c r="H37" s="34" t="inlineStr">
        <is>
          <t>High</t>
        </is>
      </c>
      <c r="I37" s="35" t="inlineStr">
        <is>
          <t>Instructor, Academic Advisor (+ Instructor) and Head of Department records created and linked; every hire gets the Employee role.</t>
        </is>
      </c>
      <c r="J37" s="35" t="inlineStr">
        <is>
          <t>None.</t>
        </is>
      </c>
      <c r="K37" s="35" t="inlineStr">
        <is>
          <t>8390598</t>
        </is>
      </c>
      <c r="L37" s="34" t="inlineStr">
        <is>
          <t>21 Oct 2026</t>
        </is>
      </c>
    </row>
    <row r="38">
      <c r="A38" s="33" t="inlineStr">
        <is>
          <t>HR-35</t>
        </is>
      </c>
      <c r="B38" s="34" t="inlineStr">
        <is>
          <t>Recruitment</t>
        </is>
      </c>
      <c r="C38" s="35" t="inlineStr">
        <is>
          <t>HR spreadsheet to complete Instructor Ministry data</t>
        </is>
      </c>
      <c r="D38" s="34" t="inlineStr">
        <is>
          <t>19 Oct 2026</t>
        </is>
      </c>
      <c r="E38" s="34" t="inlineStr">
        <is>
          <t>Done</t>
        </is>
      </c>
      <c r="F38" s="34" t="inlineStr">
        <is>
          <t>Abdul Hakeem</t>
        </is>
      </c>
      <c r="G38" s="34" t="inlineStr">
        <is>
          <t>Abdul Hakeem</t>
        </is>
      </c>
      <c r="H38" s="34" t="inlineStr">
        <is>
          <t>High</t>
        </is>
      </c>
      <c r="I38" s="35" t="inlineStr">
        <is>
          <t>Dated bilingual export/import sheet with checks and a colour-coded result file.</t>
        </is>
      </c>
      <c r="J38" s="35" t="inlineStr">
        <is>
          <t>HR to fill it (HR-55).</t>
        </is>
      </c>
      <c r="K38" s="35" t="inlineStr">
        <is>
          <t>02f978e; instructor_data_sheet.py</t>
        </is>
      </c>
      <c r="L38" s="34" t="inlineStr">
        <is>
          <t>21 Oct 2026</t>
        </is>
      </c>
    </row>
    <row r="39">
      <c r="A39" s="33" t="inlineStr">
        <is>
          <t>HR-36</t>
        </is>
      </c>
      <c r="B39" s="34" t="inlineStr">
        <is>
          <t>Academic presence</t>
        </is>
      </c>
      <c r="C39" s="35" t="inlineStr">
        <is>
          <t>Faculty schedules (HR requirement 1)</t>
        </is>
      </c>
      <c r="D39" s="34" t="inlineStr">
        <is>
          <t>20 Oct 2026</t>
        </is>
      </c>
      <c r="E39" s="34" t="inlineStr">
        <is>
          <t>Done – client UAT pending</t>
        </is>
      </c>
      <c r="F39" s="34" t="inlineStr">
        <is>
          <t>Abdul Hakeem</t>
        </is>
      </c>
      <c r="G39" s="34" t="inlineStr">
        <is>
          <t>Abdul Hakeem</t>
        </is>
      </c>
      <c r="H39" s="34" t="inlineStr">
        <is>
          <t>High</t>
        </is>
      </c>
      <c r="I39" s="35" t="inlineStr">
        <is>
          <t>Every teaching session per faculty member, room and mode; faculty filter; CSV export. Tested: 390 sessions, 58 faculty for 6–12 Sep 2026.</t>
        </is>
      </c>
      <c r="J39" s="35" t="inlineStr">
        <is>
          <t>HR UAT.</t>
        </is>
      </c>
      <c r="K39" s="35" t="inlineStr">
        <is>
          <t>0578d3d; page/hr_academic_presence</t>
        </is>
      </c>
      <c r="L39" s="34" t="inlineStr">
        <is>
          <t>21 Oct 2026</t>
        </is>
      </c>
    </row>
    <row r="40">
      <c r="A40" s="33" t="inlineStr">
        <is>
          <t>HR-37</t>
        </is>
      </c>
      <c r="B40" s="34" t="inlineStr">
        <is>
          <t>Academic presence</t>
        </is>
      </c>
      <c r="C40" s="35" t="inlineStr">
        <is>
          <t>Proctor schedules (HR requirement 2)</t>
        </is>
      </c>
      <c r="D40" s="34" t="inlineStr">
        <is>
          <t>20 Oct 2026</t>
        </is>
      </c>
      <c r="E40" s="34" t="inlineStr">
        <is>
          <t>Done – client UAT pending</t>
        </is>
      </c>
      <c r="F40" s="34" t="inlineStr">
        <is>
          <t>Abdul Hakeem</t>
        </is>
      </c>
      <c r="G40" s="34" t="inlineStr">
        <is>
          <t>Abdul Hakeem</t>
        </is>
      </c>
      <c r="H40" s="34" t="inlineStr">
        <is>
          <t>High</t>
        </is>
      </c>
      <c r="I40" s="35" t="inlineStr">
        <is>
          <t>Exam Committee proctor assignments by date, time and room. 23 Oct: the system has no exam committees yet, so the tab is empty (shown in the User Guide).</t>
        </is>
      </c>
      <c r="J40" s="35" t="inlineStr">
        <is>
          <t>Enter the exam committees with their proctors (Checklist CL-38).</t>
        </is>
      </c>
      <c r="K40" s="35" t="inlineStr">
        <is>
          <t>0578d3d</t>
        </is>
      </c>
      <c r="L40" s="34" t="inlineStr">
        <is>
          <t>23 Oct 2026</t>
        </is>
      </c>
    </row>
    <row r="41">
      <c r="A41" s="33" t="inlineStr">
        <is>
          <t>HR-38</t>
        </is>
      </c>
      <c r="B41" s="34" t="inlineStr">
        <is>
          <t>Academic presence</t>
        </is>
      </c>
      <c r="C41" s="35" t="inlineStr">
        <is>
          <t>Students on campus per hour (HR requirement 3)</t>
        </is>
      </c>
      <c r="D41" s="34" t="inlineStr">
        <is>
          <t>20 Oct 2026</t>
        </is>
      </c>
      <c r="E41" s="34" t="inlineStr">
        <is>
          <t>Done – client UAT pending</t>
        </is>
      </c>
      <c r="F41" s="34" t="inlineStr">
        <is>
          <t>Abdul Hakeem</t>
        </is>
      </c>
      <c r="G41" s="34" t="inlineStr">
        <is>
          <t>Abdul Hakeem</t>
        </is>
      </c>
      <c r="H41" s="34" t="inlineStr">
        <is>
          <t>High</t>
        </is>
      </c>
      <c r="I41" s="35" t="inlineStr">
        <is>
          <t>Hourly expected / present / absent (one-hour slots, 7:00-22:00). Tested: 8 Sep 2026 = 858 expected, 397 present (matches attendance).</t>
        </is>
      </c>
      <c r="J41" s="35" t="inlineStr">
        <is>
          <t>HR UAT; the client asked for each period: one-hour slots or the college's own periods (DEC-15).</t>
        </is>
      </c>
      <c r="K41" s="35" t="inlineStr">
        <is>
          <t>0578d3d</t>
        </is>
      </c>
      <c r="L41" s="34" t="inlineStr">
        <is>
          <t>23 Oct 2026</t>
        </is>
      </c>
    </row>
    <row r="42">
      <c r="A42" s="33" t="inlineStr">
        <is>
          <t>HR-39</t>
        </is>
      </c>
      <c r="B42" s="34" t="inlineStr">
        <is>
          <t>Academic presence</t>
        </is>
      </c>
      <c r="C42" s="35" t="inlineStr">
        <is>
          <t>Faculty on campus after 4 PM (HR requirement 4)</t>
        </is>
      </c>
      <c r="D42" s="34" t="inlineStr">
        <is>
          <t>20 Oct 2026</t>
        </is>
      </c>
      <c r="E42" s="34" t="inlineStr">
        <is>
          <t>Done – client UAT pending</t>
        </is>
      </c>
      <c r="F42" s="34" t="inlineStr">
        <is>
          <t>Abdul Hakeem</t>
        </is>
      </c>
      <c r="G42" s="34" t="inlineStr">
        <is>
          <t>Abdul Hakeem</t>
        </is>
      </c>
      <c r="H42" s="34" t="inlineStr">
        <is>
          <t>High</t>
        </is>
      </c>
      <c r="I42" s="35" t="inlineStr">
        <is>
          <t>Daily list with evidence (device / class attendance / timetable); cut-off configurable in HR Settings. Tested: 27 people, 47 person-days in the test week.</t>
        </is>
      </c>
      <c r="J42" s="35" t="inlineStr">
        <is>
          <t>Connect attendance devices for exact times (HR-56).</t>
        </is>
      </c>
      <c r="K42" s="35" t="inlineStr">
        <is>
          <t>bfac883</t>
        </is>
      </c>
      <c r="L42" s="34" t="inlineStr">
        <is>
          <t>21 Oct 2026</t>
        </is>
      </c>
    </row>
    <row r="43">
      <c r="A43" s="33" t="inlineStr">
        <is>
          <t>HR-40</t>
        </is>
      </c>
      <c r="B43" s="34" t="inlineStr">
        <is>
          <t>Testing</t>
        </is>
      </c>
      <c r="C43" s="35" t="inlineStr">
        <is>
          <t>Browser end-to-end test round 1 and fixes</t>
        </is>
      </c>
      <c r="D43" s="34" t="inlineStr">
        <is>
          <t>20 Oct 2026</t>
        </is>
      </c>
      <c r="E43" s="34" t="inlineStr">
        <is>
          <t>Done</t>
        </is>
      </c>
      <c r="F43" s="34" t="inlineStr">
        <is>
          <t>Abdul Hakeem</t>
        </is>
      </c>
      <c r="G43" s="34" t="inlineStr">
        <is>
          <t>Abdul Hakeem</t>
        </is>
      </c>
      <c r="H43" s="34" t="inlineStr">
        <is>
          <t>High</t>
        </is>
      </c>
      <c r="I43" s="35" t="inlineStr">
        <is>
          <t>68 browser tests, 8 real bugs found and fixed (see Bugs sheet B-13..B-21).</t>
        </is>
      </c>
      <c r="J43" s="35" t="inlineStr">
        <is>
          <t>None.</t>
        </is>
      </c>
      <c r="K43" s="35" t="inlineStr">
        <is>
          <t>7f0c5fc</t>
        </is>
      </c>
      <c r="L43" s="34" t="inlineStr">
        <is>
          <t>21 Oct 2026</t>
        </is>
      </c>
    </row>
    <row r="44">
      <c r="A44" s="33" t="inlineStr">
        <is>
          <t>HR-41</t>
        </is>
      </c>
      <c r="B44" s="34" t="inlineStr">
        <is>
          <t>Employee master</t>
        </is>
      </c>
      <c r="C44" s="35" t="inlineStr">
        <is>
          <t>Saving an Employee who has a login failed</t>
        </is>
      </c>
      <c r="D44" s="34" t="inlineStr">
        <is>
          <t>20 Oct 2026</t>
        </is>
      </c>
      <c r="E44" s="34" t="inlineStr">
        <is>
          <t>Done</t>
        </is>
      </c>
      <c r="F44" s="34" t="inlineStr">
        <is>
          <t>Abdul Hakeem</t>
        </is>
      </c>
      <c r="G44" s="34" t="inlineStr">
        <is>
          <t>Abdul Hakeem</t>
        </is>
      </c>
      <c r="H44" s="34" t="inlineStr">
        <is>
          <t>Critical</t>
        </is>
      </c>
      <c r="I44" s="35" t="inlineStr">
        <is>
          <t>'Could not find Gender: Gender::1' on every save of an employee with a login. Fixed in the Employee controller.</t>
        </is>
      </c>
      <c r="J44" s="35" t="inlineStr">
        <is>
          <t>None.</t>
        </is>
      </c>
      <c r="K44" s="35" t="inlineStr">
        <is>
          <t>7f0c5fc; overrides/employee.py</t>
        </is>
      </c>
      <c r="L44" s="34" t="inlineStr">
        <is>
          <t>21 Oct 2026</t>
        </is>
      </c>
    </row>
    <row r="45">
      <c r="A45" s="33" t="inlineStr">
        <is>
          <t>HR-42</t>
        </is>
      </c>
      <c r="B45" s="34" t="inlineStr">
        <is>
          <t>Requests</t>
        </is>
      </c>
      <c r="C45" s="35" t="inlineStr">
        <is>
          <t>Leave Return Request list failed for HR</t>
        </is>
      </c>
      <c r="D45" s="34" t="inlineStr">
        <is>
          <t>20 Oct 2026</t>
        </is>
      </c>
      <c r="E45" s="34" t="inlineStr">
        <is>
          <t>Done</t>
        </is>
      </c>
      <c r="F45" s="34" t="inlineStr">
        <is>
          <t>Abdul Hakeem</t>
        </is>
      </c>
      <c r="G45" s="34" t="inlineStr">
        <is>
          <t>Abdul Hakeem</t>
        </is>
      </c>
      <c r="H45" s="34" t="inlineStr">
        <is>
          <t>High</t>
        </is>
      </c>
      <c r="I45" s="35" t="inlineStr">
        <is>
          <t>Frappe rejects queries on a doctype named with ' from '. Renamed 'Return from Leave Request' -&gt; 'Leave Return Request' (migration patch moves the data).</t>
        </is>
      </c>
      <c r="J45" s="35" t="inlineStr">
        <is>
          <t>None.</t>
        </is>
      </c>
      <c r="K45" s="35" t="inlineStr">
        <is>
          <t>7f0c5fc; patches/rename_return_from_leave_request.py</t>
        </is>
      </c>
      <c r="L45" s="34" t="inlineStr">
        <is>
          <t>21 Oct 2026</t>
        </is>
      </c>
    </row>
    <row r="46">
      <c r="A46" s="33" t="inlineStr">
        <is>
          <t>HR-43</t>
        </is>
      </c>
      <c r="B46" s="34" t="inlineStr">
        <is>
          <t>Security</t>
        </is>
      </c>
      <c r="C46" s="35" t="inlineStr">
        <is>
          <t>HR permissions on core doctypes</t>
        </is>
      </c>
      <c r="D46" s="34" t="inlineStr">
        <is>
          <t>20 Oct 2026</t>
        </is>
      </c>
      <c r="E46" s="34" t="inlineStr">
        <is>
          <t>Done</t>
        </is>
      </c>
      <c r="F46" s="34" t="inlineStr">
        <is>
          <t>Abdul Hakeem</t>
        </is>
      </c>
      <c r="G46" s="34" t="inlineStr">
        <is>
          <t>Abdul Hakeem</t>
        </is>
      </c>
      <c r="H46" s="34" t="inlineStr">
        <is>
          <t>High</t>
        </is>
      </c>
      <c r="I46" s="35" t="inlineStr">
        <is>
          <t>HR read access to Company, Instructor, Department Edu; select-only Role; Travel Request. Applied on migrate.</t>
        </is>
      </c>
      <c r="J46" s="35" t="inlineStr">
        <is>
          <t>None.</t>
        </is>
      </c>
      <c r="K46" s="35" t="inlineStr">
        <is>
          <t>hr_core_permissions.py</t>
        </is>
      </c>
      <c r="L46" s="34" t="inlineStr">
        <is>
          <t>21 Oct 2026</t>
        </is>
      </c>
    </row>
    <row r="47">
      <c r="A47" s="33" t="inlineStr">
        <is>
          <t>HR-44</t>
        </is>
      </c>
      <c r="B47" s="34" t="inlineStr">
        <is>
          <t>Recruitment</t>
        </is>
      </c>
      <c r="C47" s="35" t="inlineStr">
        <is>
          <t>Applicant fields lost when converting to Employee</t>
        </is>
      </c>
      <c r="D47" s="34" t="inlineStr">
        <is>
          <t>20 Oct 2026</t>
        </is>
      </c>
      <c r="E47" s="34" t="inlineStr">
        <is>
          <t>Done</t>
        </is>
      </c>
      <c r="F47" s="34" t="inlineStr">
        <is>
          <t>Abdul Hakeem</t>
        </is>
      </c>
      <c r="G47" s="34" t="inlineStr">
        <is>
          <t>Abdul Hakeem</t>
        </is>
      </c>
      <c r="H47" s="34" t="inlineStr">
        <is>
          <t>High</t>
        </is>
      </c>
      <c r="I47" s="35" t="inlineStr">
        <is>
          <t>Work phone, extension, application category, expected salary, ID/passport and resume were dropped. Fields added to Employee.</t>
        </is>
      </c>
      <c r="J47" s="35" t="inlineStr">
        <is>
          <t>None.</t>
        </is>
      </c>
      <c r="K47" s="35" t="inlineStr">
        <is>
          <t>d690cb7</t>
        </is>
      </c>
      <c r="L47" s="34" t="inlineStr">
        <is>
          <t>21 Oct 2026</t>
        </is>
      </c>
    </row>
    <row r="48">
      <c r="A48" s="33" t="inlineStr">
        <is>
          <t>HR-45</t>
        </is>
      </c>
      <c r="B48" s="34" t="inlineStr">
        <is>
          <t>Security</t>
        </is>
      </c>
      <c r="C48" s="35" t="inlineStr">
        <is>
          <t>HR users not taken to the HR Dashboard after login</t>
        </is>
      </c>
      <c r="D48" s="34" t="inlineStr">
        <is>
          <t>21 Oct 2026</t>
        </is>
      </c>
      <c r="E48" s="34" t="inlineStr">
        <is>
          <t>Done</t>
        </is>
      </c>
      <c r="F48" s="34" t="inlineStr">
        <is>
          <t>Abdul Hakeem</t>
        </is>
      </c>
      <c r="G48" s="34" t="inlineStr">
        <is>
          <t>Abdul Hakeem</t>
        </is>
      </c>
      <c r="H48" s="34" t="inlineStr">
        <is>
          <t>High</t>
        </is>
      </c>
      <c r="I48" s="35" t="inlineStr">
        <is>
          <t>The education app's master branch has no HR roles in its landing list, so HR stayed on /app. Fixed from medical_hrms; browser-tested.</t>
        </is>
      </c>
      <c r="J48" s="35" t="inlineStr">
        <is>
          <t>Deploy (HR-58).</t>
        </is>
      </c>
      <c r="K48" s="35" t="inlineStr">
        <is>
          <t>1ee80cd</t>
        </is>
      </c>
      <c r="L48" s="34" t="inlineStr">
        <is>
          <t>23 Oct 2026</t>
        </is>
      </c>
    </row>
    <row r="49">
      <c r="A49" s="33" t="inlineStr">
        <is>
          <t>HR-59</t>
        </is>
      </c>
      <c r="B49" s="34" t="inlineStr">
        <is>
          <t>Navigation</t>
        </is>
      </c>
      <c r="C49" s="35" t="inlineStr">
        <is>
          <t>Employees saw a 'Medical HRMS' link that opened 'Not permitted'</t>
        </is>
      </c>
      <c r="D49" s="34" t="inlineStr">
        <is>
          <t>21 Oct 2026</t>
        </is>
      </c>
      <c r="E49" s="34" t="inlineStr">
        <is>
          <t>Done</t>
        </is>
      </c>
      <c r="F49" s="34" t="inlineStr">
        <is>
          <t>Abdul Hakeem</t>
        </is>
      </c>
      <c r="G49" s="34" t="inlineStr">
        <is>
          <t>Abdul Hakeem</t>
        </is>
      </c>
      <c r="H49" s="34" t="inlineStr">
        <is>
          <t>High</t>
        </is>
      </c>
      <c r="I49" s="35" t="inlineStr">
        <is>
          <t>Found by the 21 Oct error sweep: the top-bar breadcrumb on the Employee Dashboard and lists pointed employees to the HR-only workspace; one click showed 'Not permitted - No permission for Page'. Breadcrumbs now only point to workspaces the user can open (employees get 'Employee Self Service').</t>
        </is>
      </c>
      <c r="J49" s="35" t="inlineStr">
        <is>
          <t>Deploy (HR-58). Likely one source of the error the client reported.</t>
        </is>
      </c>
      <c r="K49" s="35" t="inlineStr">
        <is>
          <t>workspace_access.py</t>
        </is>
      </c>
      <c r="L49" s="34" t="inlineStr">
        <is>
          <t>21 Oct 2026</t>
        </is>
      </c>
    </row>
    <row r="50">
      <c r="A50" s="33" t="inlineStr">
        <is>
          <t>HR-60</t>
        </is>
      </c>
      <c r="B50" s="34" t="inlineStr">
        <is>
          <t>Requests</t>
        </is>
      </c>
      <c r="C50" s="35" t="inlineStr">
        <is>
          <t>HR got a 'No Read or Select Permission for Cost Center' pop-up on a new Expense Claim</t>
        </is>
      </c>
      <c r="D50" s="34" t="inlineStr">
        <is>
          <t>21 Oct 2026</t>
        </is>
      </c>
      <c r="E50" s="34" t="inlineStr">
        <is>
          <t>Done</t>
        </is>
      </c>
      <c r="F50" s="34" t="inlineStr">
        <is>
          <t>Abdul Hakeem</t>
        </is>
      </c>
      <c r="G50" s="34" t="inlineStr">
        <is>
          <t>Abdul Hakeem</t>
        </is>
      </c>
      <c r="H50" s="34" t="inlineStr">
        <is>
          <t>High</t>
        </is>
      </c>
      <c r="I50" s="35" t="inlineStr">
        <is>
          <t>Found by the 21 Oct error sweep: a new Expense Claim fills in the default cost center, which HR could not select. HR User and HR Manager now get select-only access to Cost Center and Project (as employees already have). Applied on migrate.</t>
        </is>
      </c>
      <c r="J50" s="35" t="inlineStr">
        <is>
          <t>Deploy (HR-58). Likely one source of the error the client reported.</t>
        </is>
      </c>
      <c r="K50" s="35" t="inlineStr">
        <is>
          <t>hr_core_permissions.py</t>
        </is>
      </c>
      <c r="L50" s="34" t="inlineStr">
        <is>
          <t>21 Oct 2026</t>
        </is>
      </c>
    </row>
    <row r="51">
      <c r="A51" s="33" t="inlineStr">
        <is>
          <t>HR-61</t>
        </is>
      </c>
      <c r="B51" s="34" t="inlineStr">
        <is>
          <t>Recruitment</t>
        </is>
      </c>
      <c r="C51" s="35" t="inlineStr">
        <is>
          <t>Academic hire with a personal e-mail: Employee created but Instructor record silently missing</t>
        </is>
      </c>
      <c r="D51" s="34" t="inlineStr">
        <is>
          <t>21 Oct 2026</t>
        </is>
      </c>
      <c r="E51" s="34" t="inlineStr">
        <is>
          <t>Done</t>
        </is>
      </c>
      <c r="F51" s="34" t="inlineStr">
        <is>
          <t>Abdul Hakeem</t>
        </is>
      </c>
      <c r="G51" s="34" t="inlineStr">
        <is>
          <t>Abdul Hakeem</t>
        </is>
      </c>
      <c r="H51" s="34" t="inlineStr">
        <is>
          <t>High</t>
        </is>
      </c>
      <c r="I51" s="35" t="inlineStr">
        <is>
          <t>The education app's master branch now requires Instructor e-mails ending in @alriyada.edu.sa. Converting an Instructor/Academic Advisor applicant with a personal e-mail created the Employee and then showed an orange 'Instructor record not created' warning. Now refused up front with 'College E-mail Needed' before anything is created; the Create Employee dialog says which address to use.</t>
        </is>
      </c>
      <c r="J51" s="35" t="inlineStr">
        <is>
          <t>Deploy (HR-58). HR must enter the official college e-mail as Company Email for academic hires.</t>
        </is>
      </c>
      <c r="K51" s="35" t="inlineStr">
        <is>
          <t>job_application.py; employee_job_applicant.js</t>
        </is>
      </c>
      <c r="L51" s="34" t="inlineStr">
        <is>
          <t>23 Oct 2026</t>
        </is>
      </c>
    </row>
    <row r="52">
      <c r="A52" s="33" t="inlineStr">
        <is>
          <t>HR-63</t>
        </is>
      </c>
      <c r="B52" s="34" t="inlineStr">
        <is>
          <t>Registration</t>
        </is>
      </c>
      <c r="C52" s="35" t="inlineStr">
        <is>
          <t>Non-Saudi employees could not be saved: the form wiped their Iqama number</t>
        </is>
      </c>
      <c r="D52" s="34" t="inlineStr">
        <is>
          <t>21 Oct 2026</t>
        </is>
      </c>
      <c r="E52" s="34" t="inlineStr">
        <is>
          <t>Done</t>
        </is>
      </c>
      <c r="F52" s="34" t="inlineStr">
        <is>
          <t>Abdul Hakeem</t>
        </is>
      </c>
      <c r="G52" s="34" t="inlineStr">
        <is>
          <t>Abdul Hakeem</t>
        </is>
      </c>
      <c r="H52" s="34" t="inlineStr">
        <is>
          <t>Critical</t>
        </is>
      </c>
      <c r="I52" s="35" t="inlineStr">
        <is>
          <t>Found 21 Oct: the 19 Oct identity fix (HR-05, bug B-11) changed the server rule (Iqama mandatory for residents, home-country ID optional) but the Employee form script still had the old rule. Opening a non-Saudi employee hid and cleared the Iqama number and demanded the home-country ID, so HR could not save the record at all. Form now matches the Ministry rule; browser-tested with an Iqama holder.</t>
        </is>
      </c>
      <c r="J52" s="35" t="inlineStr">
        <is>
          <t>Deploy (HR-58). Very likely one source of the error the client reported (any HR user opening a non-Saudi employee).</t>
        </is>
      </c>
      <c r="K52" s="35" t="inlineStr">
        <is>
          <t>employee_ministry_lookup.js</t>
        </is>
      </c>
      <c r="L52" s="34" t="inlineStr">
        <is>
          <t>21 Oct 2026</t>
        </is>
      </c>
    </row>
    <row r="53">
      <c r="A53" s="33" t="inlineStr">
        <is>
          <t>HR-64</t>
        </is>
      </c>
      <c r="B53" s="34" t="inlineStr">
        <is>
          <t>Recruitment</t>
        </is>
      </c>
      <c r="C53" s="35" t="inlineStr">
        <is>
          <t>Employees created from a job application opened as 'Not Saved'</t>
        </is>
      </c>
      <c r="D53" s="34" t="inlineStr">
        <is>
          <t>21 Oct 2026</t>
        </is>
      </c>
      <c r="E53" s="34" t="inlineStr">
        <is>
          <t>Done</t>
        </is>
      </c>
      <c r="F53" s="34" t="inlineStr">
        <is>
          <t>Abdul Hakeem</t>
        </is>
      </c>
      <c r="G53" s="34" t="inlineStr">
        <is>
          <t>Abdul Hakeem</t>
        </is>
      </c>
      <c r="H53" s="34" t="inlineStr">
        <is>
          <t>High</t>
        </is>
      </c>
      <c r="I53" s="35" t="inlineStr">
        <is>
          <t>The public form lets an applicant pick a special-needs type with 'Has special needs = No' and a Saudi enter a home-country ID. Those values were copied to the Employee; the form then cleared them on opening (record marked 'Not Saved', 'Leave site?' prompt) and the Ministry view would have sent a special-needs code for someone without special needs. The server now drops values that do not apply on every save; the views only send a special-needs type when the flag is set.</t>
        </is>
      </c>
      <c r="J53" s="35" t="inlineStr">
        <is>
          <t>Deploy (HR-58).</t>
        </is>
      </c>
      <c r="K53" s="35" t="inlineStr">
        <is>
          <t>ministry_lookup_validation.py; jameah/views.py</t>
        </is>
      </c>
      <c r="L53" s="34" t="inlineStr">
        <is>
          <t>21 Oct 2026</t>
        </is>
      </c>
    </row>
    <row r="54">
      <c r="A54" s="33" t="inlineStr">
        <is>
          <t>HR-65</t>
        </is>
      </c>
      <c r="B54" s="34" t="inlineStr">
        <is>
          <t>Recruitment</t>
        </is>
      </c>
      <c r="C54" s="35" t="inlineStr">
        <is>
          <t>Create Employee dialog asks for every field the Employee form requires</t>
        </is>
      </c>
      <c r="D54" s="34" t="inlineStr">
        <is>
          <t>21 Oct 2026</t>
        </is>
      </c>
      <c r="E54" s="34" t="inlineStr">
        <is>
          <t>Done</t>
        </is>
      </c>
      <c r="F54" s="34" t="inlineStr">
        <is>
          <t>Abdul Hakeem</t>
        </is>
      </c>
      <c r="G54" s="34" t="inlineStr">
        <is>
          <t>Abdul Hakeem</t>
        </is>
      </c>
      <c r="H54" s="34" t="inlineStr">
        <is>
          <t>Medium</t>
        </is>
      </c>
      <c r="I54" s="35" t="inlineStr">
        <is>
          <t>New hires could not be saved again ('Missing Fields': Department, Work Location). The dialog now asks for Academic Department, Geographical Work Location, City and Job Rank (pre-filled from the application) and Gender / Date of Birth when the applicant left them empty. Browser-tested: the new Employee saves straight away (REC-10).</t>
        </is>
      </c>
      <c r="J54" s="35" t="inlineStr">
        <is>
          <t>None.</t>
        </is>
      </c>
      <c r="K54" s="35" t="inlineStr">
        <is>
          <t>employee_job_applicant.js; job_application.py</t>
        </is>
      </c>
      <c r="L54" s="34" t="inlineStr">
        <is>
          <t>21 Oct 2026</t>
        </is>
      </c>
    </row>
    <row r="55">
      <c r="A55" s="33" t="inlineStr">
        <is>
          <t>HR-67</t>
        </is>
      </c>
      <c r="B55" s="34" t="inlineStr">
        <is>
          <t>Testing</t>
        </is>
      </c>
      <c r="C55" s="35" t="inlineStr">
        <is>
          <t>Browser test suite kept in the repository (tests/e2e)</t>
        </is>
      </c>
      <c r="D55" s="34" t="inlineStr">
        <is>
          <t>22 Oct 2026</t>
        </is>
      </c>
      <c r="E55" s="34" t="inlineStr">
        <is>
          <t>Done</t>
        </is>
      </c>
      <c r="F55" s="34" t="inlineStr">
        <is>
          <t>Abdul Hakeem</t>
        </is>
      </c>
      <c r="G55" s="34" t="inlineStr">
        <is>
          <t>Abdul Hakeem</t>
        </is>
      </c>
      <c r="H55" s="34" t="inlineStr">
        <is>
          <t>Medium</t>
        </is>
      </c>
      <c r="I55" s="35" t="inlineStr">
        <is>
          <t>The end-to-end browser tests, QA data scripts and a results-to-workbook helper are in tests/e2e with a README. The QA scripts create test logins with known passwords, so they refuse to run unless the site is named in QA_TEST_SITE (never production). 22 Oct: the QA reset now removes a deleted QA user's shares at once (B-41).</t>
        </is>
      </c>
      <c r="J55" s="35" t="inlineStr">
        <is>
          <t>Run before every release; results go into the Test Cases workbook.</t>
        </is>
      </c>
      <c r="K55" s="35" t="inlineStr">
        <is>
          <t>tests/e2e/README.md</t>
        </is>
      </c>
      <c r="L55" s="34" t="inlineStr">
        <is>
          <t>22 Oct 2026</t>
        </is>
      </c>
    </row>
    <row r="56">
      <c r="A56" s="33" t="inlineStr">
        <is>
          <t>HR-70</t>
        </is>
      </c>
      <c r="B56" s="34" t="inlineStr">
        <is>
          <t>Recruitment</t>
        </is>
      </c>
      <c r="C56" s="35" t="inlineStr">
        <is>
          <t>Job application page update (assigned to Fathir) merged into the test branch</t>
        </is>
      </c>
      <c r="D56" s="34" t="inlineStr">
        <is>
          <t>22 Oct 2026</t>
        </is>
      </c>
      <c r="E56" s="34" t="inlineStr">
        <is>
          <t>Done – client UAT pending</t>
        </is>
      </c>
      <c r="F56" s="34" t="inlineStr">
        <is>
          <t>Abdul Hakeem</t>
        </is>
      </c>
      <c r="G56" s="34" t="inlineStr">
        <is>
          <t>Fathir</t>
        </is>
      </c>
      <c r="H56" s="34" t="inlineStr">
        <is>
          <t>Medium</t>
        </is>
      </c>
      <c r="I56" s="35" t="inlineStr">
        <is>
          <t>The update assigned to Fathir (22 Oct, PR #2 to develop): grouped form sections, country codes on phone numbers, a PDF receipt after sending, English/Arabic name checks, 194 Arabic texts. Merged into feature/uat-2026-10-22 the same day; conflicts resolved keeping both sides (phone check and Ministry identity check both run; Identity Type and Number stay required; 'Job Rank' in Arabic stays المرتبة الوظيفية). Two clashes Git could not see were fixed (B-42, B-44). Our browser tests now go through the steps of the form. Browser tests re-run: 95/95 browser checks, 37/37 unit tests, 23/23 Ministry views OK, no Error Log entries.</t>
        </is>
      </c>
      <c r="J56" s="35" t="inlineStr">
        <is>
          <t>Client UAT of the application form and the receipt (TC-REC-13, TC-REC-14). Fathir: the phone error message gives a Sri Lankan example (+94 77 123 4567); use a Saudi one (+966 5x xxx xxxx).</t>
        </is>
      </c>
      <c r="K56" s="35" t="inlineStr">
        <is>
          <t>www/job-application.html; www/job_application.py; recruitment/receipt.py</t>
        </is>
      </c>
      <c r="L56" s="34" t="inlineStr">
        <is>
          <t>23 Oct 2026</t>
        </is>
      </c>
    </row>
    <row r="57">
      <c r="A57" s="33" t="inlineStr">
        <is>
          <t>HR-71</t>
        </is>
      </c>
      <c r="B57" s="34" t="inlineStr">
        <is>
          <t>Repository</t>
        </is>
      </c>
      <c r="C57" s="35" t="inlineStr">
        <is>
          <t>Every branch merged into develop (the team's main branch)</t>
        </is>
      </c>
      <c r="D57" s="34" t="inlineStr">
        <is>
          <t>23 Oct 2026</t>
        </is>
      </c>
      <c r="E57" s="34" t="inlineStr">
        <is>
          <t>Done</t>
        </is>
      </c>
      <c r="F57" s="34" t="inlineStr">
        <is>
          <t>Abdul Hakeem</t>
        </is>
      </c>
      <c r="G57" s="34" t="inlineStr">
        <is>
          <t>Abdul Hakeem</t>
        </is>
      </c>
      <c r="H57" s="34" t="inlineStr">
        <is>
          <t>High</t>
        </is>
      </c>
      <c r="I57" s="35" t="inlineStr">
        <is>
          <t>In this order: our work (feature/uat-2026-10-22, which already held fix/hrm-e2e-approval-permission-bugs, feature/jameah-ministry-views and the portal design), then feature/hr-portal-design, then employee-applicant, then ministry-lookup last (the 22 Oct job-application update was already in). Conflicts: feature/hr-portal-design's own 22 Oct merge had dropped the Ministry identity check from the application form and kept an old Create Employee signature; develop's tested versions kept. employee-applicant (May-Jul prototype of recruitment, assigned to Dinesh, replaced by the September rebuild) recorded as merged without taking its files (decision of the HR lead, 23 Oct): its 17 old patches, second /job-application controller and old Return from Leave doctype would have broken recruitment, leave returns and migrate. The merged code is identical to the code tested on 22 Oct. Re-tested: 95/95 browser checks (error sweep: 116 pages for HR, 20 for employees), 37/37 unit tests, 23/23 Ministry views, 29 server methods x 3 roles, 0 file and 0 site problems, no Error Log entries.</t>
        </is>
      </c>
      <c r="J57" s="35" t="inlineStr">
        <is>
          <t>Delete the merged branches on GitHub after UAT (Checklist CL-34). New work: a branch from develop and a pull request (README).</t>
        </is>
      </c>
      <c r="K57" s="35" t="inlineStr">
        <is>
          <t>develop; README.md</t>
        </is>
      </c>
      <c r="L57" s="34" t="inlineStr">
        <is>
          <t>23 Oct 2026</t>
        </is>
      </c>
    </row>
    <row r="58">
      <c r="A58" s="33" t="inlineStr">
        <is>
          <t>HR-72</t>
        </is>
      </c>
      <c r="B58" s="34" t="inlineStr">
        <is>
          <t>Testing</t>
        </is>
      </c>
      <c r="C58" s="35" t="inlineStr">
        <is>
          <t>Full check of every file and page of the app</t>
        </is>
      </c>
      <c r="D58" s="34" t="inlineStr">
        <is>
          <t>23 Oct 2026</t>
        </is>
      </c>
      <c r="E58" s="34" t="inlineStr">
        <is>
          <t>Done</t>
        </is>
      </c>
      <c r="F58" s="34" t="inlineStr">
        <is>
          <t>Abdul Hakeem</t>
        </is>
      </c>
      <c r="G58" s="34" t="inlineStr">
        <is>
          <t>Abdul Hakeem</t>
        </is>
      </c>
      <c r="H58" s="34" t="inlineStr">
        <is>
          <t>High</t>
        </is>
      </c>
      <c r="I58" s="35" t="inlineStr">
        <is>
          <t>Files: 177 Python files compile, no undefined names (pyflakes); 26 JS files and the job form's 3 inline scripts parse; 26 JSON files load; 571 Arabic translations keep their placeholders. Site: 109 hooks / scheduler jobs / overrides / assets / patches resolve; 29 Medical HRMS doctypes, 73 custom link fields, the newest saved records (validate), the report, 4 pages and 2 workspaces. Server: all 29 methods called as visitor, employee and HR User (87 calls, none open to the wrong role, no server error). Unit tests: 19 files, 37 tests. Browser: the full suite, with the error sweep now opening every Medical HRMS doctype (list, new form, newest record), the report and both workspaces for HR, and employees' own request lists. The checks are kept as tests/checks/files.py, site.py and api_methods.py; each records its result in the Test Cases workbook (Last automated run). Result: 95/95 browser checks (error sweep: 116 pages for HR, 20 for employees), 37/37 unit tests, 23/23 Ministry views, 29 server methods x 3 roles, 0 file and 0 site problems, no Error Log entries.</t>
        </is>
      </c>
      <c r="J58" s="35" t="inlineStr">
        <is>
          <t>Run tests/checks and the browser suite before every release (Checklist CL-36).</t>
        </is>
      </c>
      <c r="K58" s="35" t="inlineStr">
        <is>
          <t>tests/checks; tests/e2e</t>
        </is>
      </c>
      <c r="L58" s="34" t="inlineStr">
        <is>
          <t>23 Oct 2026</t>
        </is>
      </c>
    </row>
    <row r="59">
      <c r="A59" s="33" t="inlineStr">
        <is>
          <t>HR-73</t>
        </is>
      </c>
      <c r="B59" s="34" t="inlineStr">
        <is>
          <t>Repository</t>
        </is>
      </c>
      <c r="C59" s="35" t="inlineStr">
        <is>
          <t>Review the 39 one-off setup scripts that nothing calls</t>
        </is>
      </c>
      <c r="D59" s="34" t="inlineStr">
        <is>
          <t>—</t>
        </is>
      </c>
      <c r="E59" s="34" t="inlineStr">
        <is>
          <t>Planned</t>
        </is>
      </c>
      <c r="F59" s="34" t="inlineStr">
        <is>
          <t>Abdul Hakeem</t>
        </is>
      </c>
      <c r="G59" s="34" t="inlineStr">
        <is>
          <t>To assign</t>
        </is>
      </c>
      <c r="H59" s="34" t="inlineStr">
        <is>
          <t>Medium</t>
        </is>
      </c>
      <c r="I59" s="35" t="inlineStr">
        <is>
          <t>Found 23 Oct: 39 of the 79 scripts in medical_hrms/ are not used by hooks, patches or other code (run by hand in the past): add_fields, apply_hr_workspace_layout, check_hrm_readiness, check_local_leave_flows, cleanup_duplicate_employee_ministry_fields, configure_hr_workspace_access, configure_hrm_request_governance, configure_instructor_handoff_permissions, create_company_car, create_education_allowance, create_medical_license, create_overtime_request, create_permission_request, create_remaining_doctypes, create_remote_work, create_return_from_leave, create_salary_cert, create_training_request, create_workspace, ensure_notification_settings, fill_jameah_arabic_fallback, fix_assessment_group_doctype, fix_child_table_column_widths, fix_return_from_leave_list_view, fix_swapped_ministry_code_rows, grant_hr_login_access, grant_hr_module_permissions, migrate_jameah_dummy_data, normalize_jameah_ministry_codes, quick_grant_hr_permissions, rebuild_workspace, rename_children_medical_allowance_doctype, rename_employee_jameah_labels, report_hr_permissions, run_hrm_demo_verification, translate_jameah_ministry_names_to_arabic, unify_workspace, update_workspace_db (+ a duplicate removed, B-45). Some are risky to run again (configure_hrm_request_governance replaces the request doctypes' permissions; create_* and rename_* recreate or rename doctypes).</t>
        </is>
      </c>
      <c r="J59" s="35" t="inlineStr">
        <is>
          <t>Keep the useful tools (check_hrm_readiness, report_hr_permissions, run_hrm_demo_verification) in a tools/ folder; delete the one-offs already applied; never run configure_hrm_request_governance.</t>
        </is>
      </c>
      <c r="K59" s="35" t="inlineStr">
        <is>
          <t>medical_hrms/*.py</t>
        </is>
      </c>
      <c r="L59" s="34" t="inlineStr">
        <is>
          <t>23 Oct 2026</t>
        </is>
      </c>
    </row>
    <row r="60">
      <c r="A60" s="33" t="inlineStr">
        <is>
          <t>HR-74</t>
        </is>
      </c>
      <c r="B60" s="34" t="inlineStr">
        <is>
          <t>Documentation</t>
        </is>
      </c>
      <c r="C60" s="35" t="inlineStr">
        <is>
          <t>Installation and Setup Guide and User Guide (PDF)</t>
        </is>
      </c>
      <c r="D60" s="34" t="inlineStr">
        <is>
          <t>23 Oct 2026</t>
        </is>
      </c>
      <c r="E60" s="34" t="inlineStr">
        <is>
          <t>Done</t>
        </is>
      </c>
      <c r="F60" s="34" t="inlineStr">
        <is>
          <t>Abdul Hakeem</t>
        </is>
      </c>
      <c r="G60" s="34" t="inlineStr">
        <is>
          <t>Abdul Hakeem</t>
        </is>
      </c>
      <c r="H60" s="34" t="inlineStr">
        <is>
          <t>High</t>
        </is>
      </c>
      <c r="I60" s="35" t="inlineStr">
        <is>
          <t>Two PDF guides in docs/guides: Installation and Setup Guide (21 pages: install, update, checks, first-time setup, leave year, sick leave, Jameah setup, Ministry agent account, staff data sheets, testing, troubleshooting, commands) and User Guide (30 pages: Employee Portal and the leave flow, every request, HR Portal, leave approvals and returns, recruitment, Ministry data, Academic Presence, Jameah pages, approvers, how to test and report bugs, Q&amp;A). 31 screenshots from the test site with QA test data only. Sources (HTML) and build.py kept in docs/guides/src so the guides can be rebuilt after changes. Writing them found two bugs (B-54, B-55). Re-tested: 95/95 browser checks, 42 unit tests (0 failures), 0 file and 0 site problems, 29 server methods x 3 roles, no Error Log entries.</t>
        </is>
      </c>
      <c r="J60" s="35" t="inlineStr">
        <is>
          <t>HR, managers and the testing team read the User Guide; the server admin the Installation Guide (Checklist CL-37). Rebuild after changes: python docs/guides/src/build.py.</t>
        </is>
      </c>
      <c r="K60" s="35" t="inlineStr">
        <is>
          <t>docs/guides</t>
        </is>
      </c>
      <c r="L60" s="34" t="inlineStr">
        <is>
          <t>23 Oct 2026</t>
        </is>
      </c>
    </row>
    <row r="61">
      <c r="A61" s="33" t="inlineStr">
        <is>
          <t>HR-66</t>
        </is>
      </c>
      <c r="B61" s="34" t="inlineStr">
        <is>
          <t>HR dashboard</t>
        </is>
      </c>
      <c r="C61" s="35" t="inlineStr">
        <is>
          <t>HR Portal and Employee Portal in the new college design</t>
        </is>
      </c>
      <c r="D61" s="34" t="inlineStr">
        <is>
          <t>21 Oct 2026</t>
        </is>
      </c>
      <c r="E61" s="34" t="inlineStr">
        <is>
          <t>Done</t>
        </is>
      </c>
      <c r="F61" s="34" t="inlineStr">
        <is>
          <t>Abdul Hakeem</t>
        </is>
      </c>
      <c r="G61" s="34" t="inlineStr">
        <is>
          <t>Abdul Hakeem</t>
        </is>
      </c>
      <c r="H61" s="34" t="inlineStr">
        <is>
          <t>High</t>
        </is>
      </c>
      <c r="I61" s="35" t="inlineStr">
        <is>
          <t>The college portal design: left menu with sections, top bar with breadcrumb, EN/AR, dark mode, notifications and account menu, page heading, 'Today at a Glance' cards. Covers the HR Dashboard, Employee Dashboard, Academic Presence and Jameah Data Check; menu entries only show pages the user can open; phone layout; right-to-left Arabic with 216 new Arabic translations. Our own code and class names, so changes in other apps cannot break these pages.</t>
        </is>
      </c>
      <c r="J61" s="35" t="inlineStr">
        <is>
          <t>Client to review the look; standard Frappe lists and forms keep the normal desk.</t>
        </is>
      </c>
      <c r="K61" s="35" t="inlineStr">
        <is>
          <t>hr_portal.js; hr_portal.css; translations/ar.csv</t>
        </is>
      </c>
      <c r="L61" s="34" t="inlineStr">
        <is>
          <t>23 Oct 2026</t>
        </is>
      </c>
    </row>
    <row r="62">
      <c r="A62" s="33" t="inlineStr">
        <is>
          <t>HR-62</t>
        </is>
      </c>
      <c r="B62" s="34" t="inlineStr">
        <is>
          <t>Security</t>
        </is>
      </c>
      <c r="C62" s="35" t="inlineStr">
        <is>
          <t>HR User could not open the Holiday List ('Not permitted')</t>
        </is>
      </c>
      <c r="D62" s="34" t="inlineStr">
        <is>
          <t>21 Oct 2026</t>
        </is>
      </c>
      <c r="E62" s="34" t="inlineStr">
        <is>
          <t>Done</t>
        </is>
      </c>
      <c r="F62" s="34" t="inlineStr">
        <is>
          <t>Abdul Hakeem</t>
        </is>
      </c>
      <c r="G62" s="34" t="inlineStr">
        <is>
          <t>Abdul Hakeem</t>
        </is>
      </c>
      <c r="H62" s="34" t="inlineStr">
        <is>
          <t>Medium</t>
        </is>
      </c>
      <c r="I62" s="35" t="inlineStr">
        <is>
          <t>ERPNext grants Holiday List to HR Manager only, but HR Users manage employees (whose form links a holiday list) and check holidays when approving leave. HR User now has read-only access.</t>
        </is>
      </c>
      <c r="J62" s="35" t="inlineStr">
        <is>
          <t>Deploy (HR-58).</t>
        </is>
      </c>
      <c r="K62" s="35" t="inlineStr">
        <is>
          <t>hr_core_permissions.py</t>
        </is>
      </c>
      <c r="L62" s="34" t="inlineStr">
        <is>
          <t>21 Oct 2026</t>
        </is>
      </c>
    </row>
    <row r="63">
      <c r="A63" s="33" t="inlineStr">
        <is>
          <t>HR-46</t>
        </is>
      </c>
      <c r="B63" s="34" t="inlineStr">
        <is>
          <t>Testing</t>
        </is>
      </c>
      <c r="C63" s="35" t="inlineStr">
        <is>
          <t>Full end-to-end test with error sweep (round 3)</t>
        </is>
      </c>
      <c r="D63" s="34" t="inlineStr">
        <is>
          <t>21 Oct 2026</t>
        </is>
      </c>
      <c r="E63" s="34" t="inlineStr">
        <is>
          <t>Done</t>
        </is>
      </c>
      <c r="F63" s="34" t="inlineStr">
        <is>
          <t>Abdul Hakeem</t>
        </is>
      </c>
      <c r="G63" s="34" t="inlineStr">
        <is>
          <t>Abdul Hakeem</t>
        </is>
      </c>
      <c r="H63" s="34" t="inlineStr">
        <is>
          <t>High</t>
        </is>
      </c>
      <c r="I63" s="35" t="inlineStr">
        <is>
          <t>All modules plus an error sweep of every page for four roles. Results in the Test Report.</t>
        </is>
      </c>
      <c r="J63" s="35" t="inlineStr">
        <is>
          <t>Client UAT.</t>
        </is>
      </c>
      <c r="K63" s="35" t="inlineStr">
        <is>
          <t>Test Report</t>
        </is>
      </c>
      <c r="L63" s="34" t="inlineStr">
        <is>
          <t>21 Oct 2026</t>
        </is>
      </c>
    </row>
    <row r="64">
      <c r="A64" s="33" t="inlineStr">
        <is>
          <t>HR-47</t>
        </is>
      </c>
      <c r="B64" s="34" t="inlineStr">
        <is>
          <t>Infrastructure</t>
        </is>
      </c>
      <c r="C64" s="35" t="inlineStr">
        <is>
          <t>System e-mail account password cannot be decrypted</t>
        </is>
      </c>
      <c r="D64" s="34" t="inlineStr">
        <is>
          <t>—</t>
        </is>
      </c>
      <c r="E64" s="34" t="inlineStr">
        <is>
          <t>Pending – data / setup</t>
        </is>
      </c>
      <c r="F64" s="34" t="inlineStr">
        <is>
          <t>Server admin</t>
        </is>
      </c>
      <c r="G64" s="34" t="inlineStr">
        <is>
          <t>Server admin</t>
        </is>
      </c>
      <c r="H64" s="34" t="inlineStr">
        <is>
          <t>High</t>
        </is>
      </c>
      <c r="I64" s="35" t="inlineStr">
        <is>
          <t>Error Log: 'Failed to decrypt key Email Account.Notifications.password' 10 times (13–20 Oct); 3 e-mails stuck. Every system e-mail fails while this is broken.</t>
        </is>
      </c>
      <c r="J64" s="35" t="inlineStr">
        <is>
          <t>On the live server: open Email Account 'Notifications', re-enter the password, save, send a test e-mail. Check the Error Log there for the same error.</t>
        </is>
      </c>
      <c r="K64" s="35" t="inlineStr">
        <is>
          <t>Error Log; Email Queue</t>
        </is>
      </c>
      <c r="L64" s="34" t="inlineStr">
        <is>
          <t>21 Oct 2026</t>
        </is>
      </c>
    </row>
    <row r="65">
      <c r="A65" s="33" t="inlineStr">
        <is>
          <t>HR-48</t>
        </is>
      </c>
      <c r="B65" s="34" t="inlineStr">
        <is>
          <t>Integration</t>
        </is>
      </c>
      <c r="C65" s="35" t="inlineStr">
        <is>
          <t>Instructor form: linking an Employee fails on save</t>
        </is>
      </c>
      <c r="D65" s="34" t="inlineStr">
        <is>
          <t>—</t>
        </is>
      </c>
      <c r="E65" s="34" t="inlineStr">
        <is>
          <t>Pending – development</t>
        </is>
      </c>
      <c r="F65" s="34" t="inlineStr">
        <is>
          <t>Abdul Hakeem</t>
        </is>
      </c>
      <c r="G65" s="34" t="inlineStr">
        <is>
          <t>Abdul Hakeem</t>
        </is>
      </c>
      <c r="H65" s="34" t="inlineStr">
        <is>
          <t>Medium</t>
        </is>
      </c>
      <c r="I65" s="35" t="inlineStr">
        <is>
          <t>Instructor copies gender/department from Employee into its own lists, which reject Ministry codes. Recruitment works around it.</t>
        </is>
      </c>
      <c r="J65" s="35" t="inlineStr">
        <is>
          <t>Fix it from Medical HRMS: give the Instructor form the matching value when it copies gender / department from the Employee.</t>
        </is>
      </c>
      <c r="K65" s="35" t="inlineStr">
        <is>
          <t>Instructor form; medical_hrms</t>
        </is>
      </c>
      <c r="L65" s="34" t="inlineStr">
        <is>
          <t>23 Oct 2026</t>
        </is>
      </c>
    </row>
    <row r="66">
      <c r="A66" s="33" t="inlineStr">
        <is>
          <t>HR-49</t>
        </is>
      </c>
      <c r="B66" s="34" t="inlineStr">
        <is>
          <t>Registration</t>
        </is>
      </c>
      <c r="C66" s="35" t="inlineStr">
        <is>
          <t>Report: Employees Missing Ministry Data</t>
        </is>
      </c>
      <c r="D66" s="34" t="inlineStr">
        <is>
          <t>21 Oct 2026</t>
        </is>
      </c>
      <c r="E66" s="34" t="inlineStr">
        <is>
          <t>Done</t>
        </is>
      </c>
      <c r="F66" s="34" t="inlineStr">
        <is>
          <t>Abdul Hakeem</t>
        </is>
      </c>
      <c r="G66" s="34" t="inlineStr">
        <is>
          <t>Abdul Hakeem</t>
        </is>
      </c>
      <c r="H66" s="34" t="inlineStr">
        <is>
          <t>Medium</t>
        </is>
      </c>
      <c r="I66" s="35" t="inlineStr">
        <is>
          <t>Report (HR Portal &gt; Ministry (Jameah)) listing each employee the Ministry views send with every Ministry-mandatory value still empty, named as the Employee form field (e.g. 'First Name (Arabic)', 'Academic Qualification (1 row): Academic qualification'). Read from the views themselves, so it shows exactly what the Ministry would receive.</t>
        </is>
      </c>
      <c r="J66" s="35" t="inlineStr">
        <is>
          <t>HR to use it to complete the data (HR-50 sheet).</t>
        </is>
      </c>
      <c r="K66" s="35" t="inlineStr">
        <is>
          <t>report/employees_missing_ministry_data</t>
        </is>
      </c>
      <c r="L66" s="34" t="inlineStr">
        <is>
          <t>21 Oct 2026</t>
        </is>
      </c>
    </row>
    <row r="67">
      <c r="A67" s="33" t="inlineStr">
        <is>
          <t>HR-50</t>
        </is>
      </c>
      <c r="B67" s="34" t="inlineStr">
        <is>
          <t>Registration</t>
        </is>
      </c>
      <c r="C67" s="35" t="inlineStr">
        <is>
          <t>Data sheet for non-academic staff</t>
        </is>
      </c>
      <c r="D67" s="34" t="inlineStr">
        <is>
          <t>21 Oct 2026</t>
        </is>
      </c>
      <c r="E67" s="34" t="inlineStr">
        <is>
          <t>Done</t>
        </is>
      </c>
      <c r="F67" s="34" t="inlineStr">
        <is>
          <t>Abdul Hakeem</t>
        </is>
      </c>
      <c r="G67" s="34" t="inlineStr">
        <is>
          <t>Abdul Hakeem</t>
        </is>
      </c>
      <c r="H67" s="34" t="inlineStr">
        <is>
          <t>Medium</t>
        </is>
      </c>
      <c r="I67" s="35" t="inlineStr">
        <is>
          <t>From the report (HR Manager only): Download Data Sheet (current values filled in, Ministry-mandatory empty cells red, Ministry dropdowns), Check (nothing saved, result sheet per row), Import (saved through the normal Employee checks). Tested: bad date / unknown nationality refused; valid row checked then imported.</t>
        </is>
      </c>
      <c r="J67" s="35" t="inlineStr">
        <is>
          <t>HR to fill the sheet for all non-academic staff.</t>
        </is>
      </c>
      <c r="K67" s="35" t="inlineStr">
        <is>
          <t>employee_data_sheet.py</t>
        </is>
      </c>
      <c r="L67" s="34" t="inlineStr">
        <is>
          <t>21 Oct 2026</t>
        </is>
      </c>
    </row>
    <row r="68">
      <c r="A68" s="33" t="inlineStr">
        <is>
          <t>HR-51</t>
        </is>
      </c>
      <c r="B68" s="34" t="inlineStr">
        <is>
          <t>Recruitment</t>
        </is>
      </c>
      <c r="C68" s="35" t="inlineStr">
        <is>
          <t>Unused duplicate of the applicant Ministry fields removed</t>
        </is>
      </c>
      <c r="D68" s="34" t="inlineStr">
        <is>
          <t>21 Oct 2026</t>
        </is>
      </c>
      <c r="E68" s="34" t="inlineStr">
        <is>
          <t>Done</t>
        </is>
      </c>
      <c r="F68" s="34" t="inlineStr">
        <is>
          <t>Abdul Hakeem</t>
        </is>
      </c>
      <c r="G68" s="34" t="inlineStr">
        <is>
          <t>Abdul Hakeem</t>
        </is>
      </c>
      <c r="H68" s="34" t="inlineStr">
        <is>
          <t>Low</t>
        </is>
      </c>
      <c r="I68" s="35" t="inlineStr">
        <is>
          <t>The duplicate was on HRMS's own 'Job Applicant' (16 Ministry fields and 4 child tables, added by an old setup patch on 11 Sep; recruitment uses our Employee Job Applicant). Old patch retired; a clean-up patch removes the copy wherever it still exists, only if it holds no data (it reports anything it keeps). Tested on this site.</t>
        </is>
      </c>
      <c r="J68" s="35" t="inlineStr">
        <is>
          <t>Watch the migrate output on the live server for 'Kept (they hold data...)'.</t>
        </is>
      </c>
      <c r="K68" s="35" t="inlineStr">
        <is>
          <t>patches/remove_duplicate_job_applicant_ministry_fields.py</t>
        </is>
      </c>
      <c r="L68" s="34" t="inlineStr">
        <is>
          <t>21 Oct 2026</t>
        </is>
      </c>
    </row>
    <row r="69">
      <c r="A69" s="33" t="inlineStr">
        <is>
          <t>HR-52</t>
        </is>
      </c>
      <c r="B69" s="34" t="inlineStr">
        <is>
          <t>Registration</t>
        </is>
      </c>
      <c r="C69" s="35" t="inlineStr">
        <is>
          <t>Identity number length: 9–10 digits (spec) vs exactly 10 (current check)</t>
        </is>
      </c>
      <c r="D69" s="34" t="inlineStr">
        <is>
          <t>—</t>
        </is>
      </c>
      <c r="E69" s="34" t="inlineStr">
        <is>
          <t>Pending – decision needed</t>
        </is>
      </c>
      <c r="F69" s="34" t="inlineStr">
        <is>
          <t>HR + Ministry contact</t>
        </is>
      </c>
      <c r="G69" s="34" t="inlineStr">
        <is>
          <t>HR + Ministry contact</t>
        </is>
      </c>
      <c r="H69" s="34" t="inlineStr">
        <is>
          <t>Medium</t>
        </is>
      </c>
      <c r="I69" s="35" t="inlineStr">
        <is>
          <t>Current rule: National ID and Iqama = exactly 10 digits (real format). Ministry document says civil registry 9–10 digits.</t>
        </is>
      </c>
      <c r="J69" s="35" t="inlineStr">
        <is>
          <t>Confirm whether 9-digit numbers must be accepted.</t>
        </is>
      </c>
      <c r="K69" s="35" t="inlineStr">
        <is>
          <t>ministry_lookup_validation.py</t>
        </is>
      </c>
      <c r="L69" s="34" t="inlineStr">
        <is>
          <t>21 Oct 2026</t>
        </is>
      </c>
    </row>
    <row r="70">
      <c r="A70" s="33" t="inlineStr">
        <is>
          <t>HR-53</t>
        </is>
      </c>
      <c r="B70" s="34" t="inlineStr">
        <is>
          <t>Data</t>
        </is>
      </c>
      <c r="C70" s="35" t="inlineStr">
        <is>
          <t>Demo employee EMP-00001 misses mandatory Ministry fields</t>
        </is>
      </c>
      <c r="D70" s="34" t="inlineStr">
        <is>
          <t>—</t>
        </is>
      </c>
      <c r="E70" s="34" t="inlineStr">
        <is>
          <t>Pending – data / setup</t>
        </is>
      </c>
      <c r="F70" s="34" t="inlineStr">
        <is>
          <t>HR</t>
        </is>
      </c>
      <c r="G70" s="34" t="inlineStr">
        <is>
          <t>HR</t>
        </is>
      </c>
      <c r="H70" s="34" t="inlineStr">
        <is>
          <t>Low</t>
        </is>
      </c>
      <c r="I70" s="35" t="inlineStr">
        <is>
          <t>It can't be saved again until completed. Belongs to the demo company 'Medical College'.</t>
        </is>
      </c>
      <c r="J70" s="35" t="inlineStr">
        <is>
          <t>Complete or delete the demo record before go-live.</t>
        </is>
      </c>
      <c r="K70" s="35" t="inlineStr">
        <is>
          <t>Employee EMP-00001</t>
        </is>
      </c>
      <c r="L70" s="34" t="inlineStr">
        <is>
          <t>21 Oct 2026</t>
        </is>
      </c>
    </row>
    <row r="71">
      <c r="A71" s="33" t="inlineStr">
        <is>
          <t>HR-54</t>
        </is>
      </c>
      <c r="B71" s="34" t="inlineStr">
        <is>
          <t>Data</t>
        </is>
      </c>
      <c r="C71" s="35" t="inlineStr">
        <is>
          <t>Website logo file missing (/files/rchs-logo.png)</t>
        </is>
      </c>
      <c r="D71" s="34" t="inlineStr">
        <is>
          <t>—</t>
        </is>
      </c>
      <c r="E71" s="34" t="inlineStr">
        <is>
          <t>Pending – data / setup</t>
        </is>
      </c>
      <c r="F71" s="34" t="inlineStr">
        <is>
          <t>Server admin</t>
        </is>
      </c>
      <c r="G71" s="34" t="inlineStr">
        <is>
          <t>Server admin</t>
        </is>
      </c>
      <c r="H71" s="34" t="inlineStr">
        <is>
          <t>Low</t>
        </is>
      </c>
      <c r="I71" s="35" t="inlineStr">
        <is>
          <t>Missing on the local copy; every page requests it.</t>
        </is>
      </c>
      <c r="J71" s="35" t="inlineStr">
        <is>
          <t>Check the file exists on the live server.</t>
        </is>
      </c>
      <c r="K71" s="35" t="inlineStr">
        <is>
          <t>Website Settings</t>
        </is>
      </c>
      <c r="L71" s="34" t="inlineStr">
        <is>
          <t>21 Oct 2026</t>
        </is>
      </c>
    </row>
    <row r="72">
      <c r="A72" s="33" t="inlineStr">
        <is>
          <t>HR-55</t>
        </is>
      </c>
      <c r="B72" s="34" t="inlineStr">
        <is>
          <t>Data</t>
        </is>
      </c>
      <c r="C72" s="35" t="inlineStr">
        <is>
          <t>Link the 216 existing Instructors to Employees</t>
        </is>
      </c>
      <c r="D72" s="34" t="inlineStr">
        <is>
          <t>—</t>
        </is>
      </c>
      <c r="E72" s="34" t="inlineStr">
        <is>
          <t>Pending – data / setup</t>
        </is>
      </c>
      <c r="F72" s="34" t="inlineStr">
        <is>
          <t>HR</t>
        </is>
      </c>
      <c r="G72" s="34" t="inlineStr">
        <is>
          <t>HR</t>
        </is>
      </c>
      <c r="H72" s="34" t="inlineStr">
        <is>
          <t>High</t>
        </is>
      </c>
      <c r="I72" s="35" t="inlineStr">
        <is>
          <t>Tool ready (HR-35). 1 of 216 linked.</t>
        </is>
      </c>
      <c r="J72" s="35" t="inlineStr">
        <is>
          <t>HR fills the Instructor data sheet; run the import with commit.</t>
        </is>
      </c>
      <c r="K72" s="35" t="inlineStr">
        <is>
          <t>instructor_data_sheet.py</t>
        </is>
      </c>
      <c r="L72" s="34" t="inlineStr">
        <is>
          <t>21 Oct 2026</t>
        </is>
      </c>
    </row>
    <row r="73">
      <c r="A73" s="33" t="inlineStr">
        <is>
          <t>HR-56</t>
        </is>
      </c>
      <c r="B73" s="34" t="inlineStr">
        <is>
          <t>Academic presence</t>
        </is>
      </c>
      <c r="C73" s="35" t="inlineStr">
        <is>
          <t>Connect attendance devices</t>
        </is>
      </c>
      <c r="D73" s="34" t="inlineStr">
        <is>
          <t>—</t>
        </is>
      </c>
      <c r="E73" s="34" t="inlineStr">
        <is>
          <t>Pending – data / setup</t>
        </is>
      </c>
      <c r="F73" s="34" t="inlineStr">
        <is>
          <t>HR + IT</t>
        </is>
      </c>
      <c r="G73" s="34" t="inlineStr">
        <is>
          <t>HR + IT</t>
        </is>
      </c>
      <c r="H73" s="34" t="inlineStr">
        <is>
          <t>Medium</t>
        </is>
      </c>
      <c r="I73" s="35" t="inlineStr">
        <is>
          <t>Presence page already uses device check-ins when they exist (HRMS Employee Checkin).</t>
        </is>
      </c>
      <c r="J73" s="35" t="inlineStr">
        <is>
          <t>Connect devices; map device user IDs to Employees.</t>
        </is>
      </c>
      <c r="K73" s="35" t="inlineStr">
        <is>
          <t>bfac883</t>
        </is>
      </c>
      <c r="L73" s="34" t="inlineStr">
        <is>
          <t>21 Oct 2026</t>
        </is>
      </c>
    </row>
    <row r="74">
      <c r="A74" s="33" t="inlineStr">
        <is>
          <t>HR-57</t>
        </is>
      </c>
      <c r="B74" s="34" t="inlineStr">
        <is>
          <t>Academic presence</t>
        </is>
      </c>
      <c r="C74" s="35" t="inlineStr">
        <is>
          <t>Set the Academic Holiday List</t>
        </is>
      </c>
      <c r="D74" s="34" t="inlineStr">
        <is>
          <t>—</t>
        </is>
      </c>
      <c r="E74" s="34" t="inlineStr">
        <is>
          <t>Pending – data / setup</t>
        </is>
      </c>
      <c r="F74" s="34" t="inlineStr">
        <is>
          <t>HR</t>
        </is>
      </c>
      <c r="G74" s="34" t="inlineStr">
        <is>
          <t>HR</t>
        </is>
      </c>
      <c r="H74" s="34" t="inlineStr">
        <is>
          <t>Medium</t>
        </is>
      </c>
      <c r="I74" s="35" t="inlineStr">
        <is>
          <t>Not set; the page warns about it.</t>
        </is>
      </c>
      <c r="J74" s="35" t="inlineStr">
        <is>
          <t>HR Settings -&gt; Academic Holiday List; tick event types that suspend classes.</t>
        </is>
      </c>
      <c r="K74" s="35" t="inlineStr">
        <is>
          <t>academic_presence_setup.py</t>
        </is>
      </c>
      <c r="L74" s="34" t="inlineStr">
        <is>
          <t>21 Oct 2026</t>
        </is>
      </c>
    </row>
    <row r="75">
      <c r="A75" s="33" t="inlineStr">
        <is>
          <t>HR-58</t>
        </is>
      </c>
      <c r="B75" s="34" t="inlineStr">
        <is>
          <t>Deployment</t>
        </is>
      </c>
      <c r="C75" s="35" t="inlineStr">
        <is>
          <t>Deploy to the live server</t>
        </is>
      </c>
      <c r="D75" s="34" t="inlineStr">
        <is>
          <t>—</t>
        </is>
      </c>
      <c r="E75" s="34" t="inlineStr">
        <is>
          <t>Pending – data / setup</t>
        </is>
      </c>
      <c r="F75" s="34" t="inlineStr">
        <is>
          <t>Abdul Hakeem + Server admin</t>
        </is>
      </c>
      <c r="G75" s="34" t="inlineStr">
        <is>
          <t>Abdul Hakeem</t>
        </is>
      </c>
      <c r="H75" s="34" t="inlineStr">
        <is>
          <t>High</t>
        </is>
      </c>
      <c r="I75" s="35" t="inlineStr">
        <is>
          <t>Branches pushed: fix/hrm-e2e-approval-permission-bugs, feature/jameah-ministry-views (contains both). 22 Oct: feature/uat-2026-10-22 has all work to date (portal design, leave flow, Faculty views, reports) - the branch to test and deploy. Later on 22 Oct develop (with Fathir's job application update) was merged into it, so it now contains develop too. 23 Oct: every branch merged into develop (HR-71); develop is the branch to deploy.</t>
        </is>
      </c>
      <c r="J75" s="35" t="inlineStr">
        <is>
          <t>On the server: check out develop, bench migrate, build, restart; smoke-test with the Test Cases workbook (Checklist CL-01 - CL-05).</t>
        </is>
      </c>
      <c r="K75" s="35" t="inlineStr">
        <is>
          <t>GitHub phpdevpro/edu-alriyada-hrm</t>
        </is>
      </c>
      <c r="L75" s="34" t="inlineStr">
        <is>
          <t>23 Oct 2026</t>
        </is>
      </c>
    </row>
    <row r="76">
      <c r="A76" s="33" t="inlineStr">
        <is>
          <t>JM-01</t>
        </is>
      </c>
      <c r="B76" s="34" t="inlineStr">
        <is>
          <t>Jameah</t>
        </is>
      </c>
      <c r="C76" s="35" t="inlineStr">
        <is>
          <t>Research: Jameah system, Ministry documents, view contract</t>
        </is>
      </c>
      <c r="D76" s="34" t="inlineStr">
        <is>
          <t>19 Oct 2026</t>
        </is>
      </c>
      <c r="E76" s="34" t="inlineStr">
        <is>
          <t>Done</t>
        </is>
      </c>
      <c r="F76" s="34" t="inlineStr">
        <is>
          <t>Abdul Hakeem</t>
        </is>
      </c>
      <c r="G76" s="34" t="inlineStr">
        <is>
          <t>Abdul Hakeem</t>
        </is>
      </c>
      <c r="H76" s="34" t="inlineStr">
        <is>
          <t>High</t>
        </is>
      </c>
      <c r="I76" s="35" t="inlineStr">
        <is>
          <t>Ministry schema V0.1, field mapping HTML, 'Views Data' PDF and code workbooks reviewed; findings shared.</t>
        </is>
      </c>
      <c r="J76" s="35" t="inlineStr">
        <is>
          <t>None.</t>
        </is>
      </c>
      <c r="K76" s="35" t="inlineStr">
        <is>
          <t>Jameah report</t>
        </is>
      </c>
      <c r="L76" s="34" t="inlineStr">
        <is>
          <t>21 Oct 2026</t>
        </is>
      </c>
    </row>
    <row r="77">
      <c r="A77" s="33" t="inlineStr">
        <is>
          <t>JM-02</t>
        </is>
      </c>
      <c r="B77" s="34" t="inlineStr">
        <is>
          <t>Jameah</t>
        </is>
      </c>
      <c r="C77" s="35" t="inlineStr">
        <is>
          <t>Ministry views for Employees (5) and Students (10)</t>
        </is>
      </c>
      <c r="D77" s="34" t="inlineStr">
        <is>
          <t>20 Oct 2026</t>
        </is>
      </c>
      <c r="E77" s="34" t="inlineStr">
        <is>
          <t>Done</t>
        </is>
      </c>
      <c r="F77" s="34" t="inlineStr">
        <is>
          <t>Abdul Hakeem</t>
        </is>
      </c>
      <c r="G77" s="34" t="inlineStr">
        <is>
          <t>Abdul Hakeem</t>
        </is>
      </c>
      <c r="H77" s="34" t="inlineStr">
        <is>
          <t>Critical</t>
        </is>
      </c>
      <c r="I77" s="35" t="inlineStr">
        <is>
          <t>15 views with the HTML column names; Ministry codes only; faculty excluded from Employee views; source records never changed.</t>
        </is>
      </c>
      <c r="J77" s="35" t="inlineStr">
        <is>
          <t>Deploy (HR-58).</t>
        </is>
      </c>
      <c r="K77" s="35" t="inlineStr">
        <is>
          <t>d690cb7; jameah/views.py; jameah/VIEWS.md</t>
        </is>
      </c>
      <c r="L77" s="34" t="inlineStr">
        <is>
          <t>21 Oct 2026</t>
        </is>
      </c>
    </row>
    <row r="78">
      <c r="A78" s="33" t="inlineStr">
        <is>
          <t>JM-03</t>
        </is>
      </c>
      <c r="B78" s="34" t="inlineStr">
        <is>
          <t>Jameah</t>
        </is>
      </c>
      <c r="C78" s="35" t="inlineStr">
        <is>
          <t>Code crosswalk (Jameah Code Map)</t>
        </is>
      </c>
      <c r="D78" s="34" t="inlineStr">
        <is>
          <t>20 Oct 2026</t>
        </is>
      </c>
      <c r="E78" s="34" t="inlineStr">
        <is>
          <t>Done</t>
        </is>
      </c>
      <c r="F78" s="34" t="inlineStr">
        <is>
          <t>Abdul Hakeem</t>
        </is>
      </c>
      <c r="G78" s="34" t="inlineStr">
        <is>
          <t>Abdul Hakeem</t>
        </is>
      </c>
      <c r="H78" s="34" t="inlineStr">
        <is>
          <t>High</t>
        </is>
      </c>
      <c r="I78" s="35" t="inlineStr">
        <is>
          <t>299 college values mapped to official codes by meaning; wrong codes in the college master lists (City 90, REL001...) no longer reach the Ministry.</t>
        </is>
      </c>
      <c r="J78" s="35" t="inlineStr">
        <is>
          <t>Review 3 values (JM-11).</t>
        </is>
      </c>
      <c r="K78" s="35" t="inlineStr">
        <is>
          <t>jameah/code_map.py</t>
        </is>
      </c>
      <c r="L78" s="34" t="inlineStr">
        <is>
          <t>23 Oct 2026</t>
        </is>
      </c>
    </row>
    <row r="79">
      <c r="A79" s="33" t="inlineStr">
        <is>
          <t>JM-04</t>
        </is>
      </c>
      <c r="B79" s="34" t="inlineStr">
        <is>
          <t>Jameah</t>
        </is>
      </c>
      <c r="C79" s="35" t="inlineStr">
        <is>
          <t>Jameah Settings</t>
        </is>
      </c>
      <c r="D79" s="34" t="inlineStr">
        <is>
          <t>20 Oct 2026</t>
        </is>
      </c>
      <c r="E79" s="34" t="inlineStr">
        <is>
          <t>Done</t>
        </is>
      </c>
      <c r="F79" s="34" t="inlineStr">
        <is>
          <t>Abdul Hakeem</t>
        </is>
      </c>
      <c r="G79" s="34" t="inlineStr">
        <is>
          <t>Abdul Hakeem</t>
        </is>
      </c>
      <c r="H79" s="34" t="inlineStr">
        <is>
          <t>High</t>
        </is>
      </c>
      <c r="I79" s="35" t="inlineStr">
        <is>
          <t>Institution values; P18, country 101 and GPA type pre-filled.</t>
        </is>
      </c>
      <c r="J79" s="35" t="inlineStr">
        <is>
          <t>Fill 6 values (JM-10).</t>
        </is>
      </c>
      <c r="K79" s="35" t="inlineStr">
        <is>
          <t>Jameah Settings</t>
        </is>
      </c>
      <c r="L79" s="34" t="inlineStr">
        <is>
          <t>21 Oct 2026</t>
        </is>
      </c>
    </row>
    <row r="80">
      <c r="A80" s="33" t="inlineStr">
        <is>
          <t>JM-05</t>
        </is>
      </c>
      <c r="B80" s="34" t="inlineStr">
        <is>
          <t>Jameah</t>
        </is>
      </c>
      <c r="C80" s="35" t="inlineStr">
        <is>
          <t>Academic figures (GPA, credit hours) refreshed hourly</t>
        </is>
      </c>
      <c r="D80" s="34" t="inlineStr">
        <is>
          <t>20 Oct 2026</t>
        </is>
      </c>
      <c r="E80" s="34" t="inlineStr">
        <is>
          <t>Done</t>
        </is>
      </c>
      <c r="F80" s="34" t="inlineStr">
        <is>
          <t>Abdul Hakeem</t>
        </is>
      </c>
      <c r="G80" s="34" t="inlineStr">
        <is>
          <t>Abdul Hakeem</t>
        </is>
      </c>
      <c r="H80" s="34" t="inlineStr">
        <is>
          <t>High</t>
        </is>
      </c>
      <c r="I80" s="35" t="inlineStr">
        <is>
          <t>Follows the transcript; view answers in ~3 s instead of 30 s. 22 Oct: only one rebuild runs at a time, so a migrate no longer fails when it overlaps the hourly refresh (B-43).</t>
        </is>
      </c>
      <c r="J80" s="35" t="inlineStr">
        <is>
          <t>None.</t>
        </is>
      </c>
      <c r="K80" s="35" t="inlineStr">
        <is>
          <t>jameah/summary.py</t>
        </is>
      </c>
      <c r="L80" s="34" t="inlineStr">
        <is>
          <t>22 Oct 2026</t>
        </is>
      </c>
    </row>
    <row r="81">
      <c r="A81" s="33" t="inlineStr">
        <is>
          <t>JM-06</t>
        </is>
      </c>
      <c r="B81" s="34" t="inlineStr">
        <is>
          <t>Jameah</t>
        </is>
      </c>
      <c r="C81" s="35" t="inlineStr">
        <is>
          <t>Independent verification of every view</t>
        </is>
      </c>
      <c r="D81" s="34" t="inlineStr">
        <is>
          <t>20 Oct 2026</t>
        </is>
      </c>
      <c r="E81" s="34" t="inlineStr">
        <is>
          <t>Done</t>
        </is>
      </c>
      <c r="F81" s="34" t="inlineStr">
        <is>
          <t>Abdul Hakeem</t>
        </is>
      </c>
      <c r="G81" s="34" t="inlineStr">
        <is>
          <t>Abdul Hakeem</t>
        </is>
      </c>
      <c r="H81" s="34" t="inlineStr">
        <is>
          <t>Critical</t>
        </is>
      </c>
      <c r="I81" s="35" t="inlineStr">
        <is>
          <t>All views match the source records value by value; 0 invalid codes. Re-run 21 Oct after the GPA update (JM-18) and with the Faculty views (JM-14): all 23 OK.</t>
        </is>
      </c>
      <c r="J81" s="35" t="inlineStr">
        <is>
          <t>Re-run after data changes: bench execute medical_hrms.jameah.verify.run</t>
        </is>
      </c>
      <c r="K81" s="35" t="inlineStr">
        <is>
          <t>jameah/verify.py; test_jameah.py</t>
        </is>
      </c>
      <c r="L81" s="34" t="inlineStr">
        <is>
          <t>23 Oct 2026</t>
        </is>
      </c>
    </row>
    <row r="82">
      <c r="A82" s="33" t="inlineStr">
        <is>
          <t>JM-18</t>
        </is>
      </c>
      <c r="B82" s="34" t="inlineStr">
        <is>
          <t>Jameah</t>
        </is>
      </c>
      <c r="C82" s="35" t="inlineStr">
        <is>
          <t>Ministry GPA and credit hours = the college's official figures</t>
        </is>
      </c>
      <c r="D82" s="34" t="inlineStr">
        <is>
          <t>21 Oct 2026</t>
        </is>
      </c>
      <c r="E82" s="34" t="inlineStr">
        <is>
          <t>Done</t>
        </is>
      </c>
      <c r="F82" s="34" t="inlineStr">
        <is>
          <t>Abdul Hakeem</t>
        </is>
      </c>
      <c r="G82" s="34" t="inlineStr">
        <is>
          <t>Abdul Hakeem</t>
        </is>
      </c>
      <c r="H82" s="34" t="inlineStr">
        <is>
          <t>Critical</t>
        </is>
      </c>
      <c r="I82" s="35" t="inlineStr">
        <is>
          <t>Found 21 Oct: the education app's master branch now has one official GPA calculation (retakes, superseded fails, XF/W, legacy baselines) and one for credit hours. Our views still used the old rules: GPA differed from the transcript for 1,197 of 2,854 students and required hours for ~10%. The hourly summary now reads those official functions (read only; the education app is not changed); verified: GPA equals the transcript for 2,854 of 2,854 students; all 15 views OK. Refresh moved to the long queue (~7 min).</t>
        </is>
      </c>
      <c r="J82" s="35" t="inlineStr">
        <is>
          <t>Deploy together with the education app's master update (HR-58); re-run verify on the live server.</t>
        </is>
      </c>
      <c r="K82" s="35" t="inlineStr">
        <is>
          <t>jameah/summary.py; jameah/verify.py</t>
        </is>
      </c>
      <c r="L82" s="34" t="inlineStr">
        <is>
          <t>23 Oct 2026</t>
        </is>
      </c>
    </row>
    <row r="83">
      <c r="A83" s="33" t="inlineStr">
        <is>
          <t>JM-19</t>
        </is>
      </c>
      <c r="B83" s="34" t="inlineStr">
        <is>
          <t>Jameah</t>
        </is>
      </c>
      <c r="C83" s="35" t="inlineStr">
        <is>
          <t>Hourly academic summary refresh slows the site while it runs</t>
        </is>
      </c>
      <c r="D83" s="34" t="inlineStr">
        <is>
          <t>—</t>
        </is>
      </c>
      <c r="E83" s="34" t="inlineStr">
        <is>
          <t>Planned</t>
        </is>
      </c>
      <c r="F83" s="34" t="inlineStr">
        <is>
          <t>Abdul Hakeem + Server admin</t>
        </is>
      </c>
      <c r="G83" s="34" t="inlineStr">
        <is>
          <t>Abdul Hakeem</t>
        </is>
      </c>
      <c r="H83" s="34" t="inlineStr">
        <is>
          <t>Medium</t>
        </is>
      </c>
      <c r="I83" s="35" t="inlineStr">
        <is>
          <t>Seen 22 Oct on the development machine (8 GB, shared with the editor): the hourly rebuild of the GPA / credit-hour summary for 3,357 students takes 10-13 minutes, and while it runs pages take 15-45 s (login to the desk 45 s). Tests run between two refreshes pass.</t>
        </is>
      </c>
      <c r="J83" s="35" t="inlineStr">
        <is>
          <t>Check page speed on the live server at the top of the hour. If it is noticeable: refresh every few hours or at night, or only students whose marks changed.</t>
        </is>
      </c>
      <c r="K83" s="35" t="inlineStr">
        <is>
          <t>jameah/summary.py; hooks.py hourly_long</t>
        </is>
      </c>
      <c r="L83" s="34" t="inlineStr">
        <is>
          <t>22 Oct 2026</t>
        </is>
      </c>
    </row>
    <row r="84">
      <c r="A84" s="33" t="inlineStr">
        <is>
          <t>JM-07</t>
        </is>
      </c>
      <c r="B84" s="34" t="inlineStr">
        <is>
          <t>Jameah</t>
        </is>
      </c>
      <c r="C84" s="35" t="inlineStr">
        <is>
          <t>Jameah Data Check page and Employee preview</t>
        </is>
      </c>
      <c r="D84" s="34" t="inlineStr">
        <is>
          <t>20 Oct 2026</t>
        </is>
      </c>
      <c r="E84" s="34" t="inlineStr">
        <is>
          <t>Done</t>
        </is>
      </c>
      <c r="F84" s="34" t="inlineStr">
        <is>
          <t>Abdul Hakeem</t>
        </is>
      </c>
      <c r="G84" s="34" t="inlineStr">
        <is>
          <t>Abdul Hakeem</t>
        </is>
      </c>
      <c r="H84" s="34" t="inlineStr">
        <is>
          <t>High</t>
        </is>
      </c>
      <c r="I84" s="35" t="inlineStr">
        <is>
          <t>HR sees gaps, invalid codes, settings to fill and source problems; 'Ministry (Jameah) Data' button on the Employee form.</t>
        </is>
      </c>
      <c r="J84" s="35" t="inlineStr">
        <is>
          <t>None.</t>
        </is>
      </c>
      <c r="K84" s="35" t="inlineStr">
        <is>
          <t>page/jameah_data_check</t>
        </is>
      </c>
      <c r="L84" s="34" t="inlineStr">
        <is>
          <t>21 Oct 2026</t>
        </is>
      </c>
    </row>
    <row r="85">
      <c r="A85" s="33" t="inlineStr">
        <is>
          <t>JM-08</t>
        </is>
      </c>
      <c r="B85" s="34" t="inlineStr">
        <is>
          <t>Jameah</t>
        </is>
      </c>
      <c r="C85" s="35" t="inlineStr">
        <is>
          <t>Read-only database account for the Ministry agent</t>
        </is>
      </c>
      <c r="D85" s="34" t="inlineStr">
        <is>
          <t>—</t>
        </is>
      </c>
      <c r="E85" s="34" t="inlineStr">
        <is>
          <t>Pending – data / setup</t>
        </is>
      </c>
      <c r="F85" s="34" t="inlineStr">
        <is>
          <t>Server admin</t>
        </is>
      </c>
      <c r="G85" s="34" t="inlineStr">
        <is>
          <t>Server admin</t>
        </is>
      </c>
      <c r="H85" s="34" t="inlineStr">
        <is>
          <t>High</t>
        </is>
      </c>
      <c r="I85" s="35" t="inlineStr">
        <is>
          <t>SQL generated by medical_hrms.jameah.views.grant_statements.</t>
        </is>
      </c>
      <c r="J85" s="35" t="inlineStr">
        <is>
          <t>Create the account on the live server; give the Ministry host, port, database, user, password.</t>
        </is>
      </c>
      <c r="K85" s="35" t="inlineStr">
        <is>
          <t>jameah/README.md</t>
        </is>
      </c>
      <c r="L85" s="34" t="inlineStr">
        <is>
          <t>21 Oct 2026</t>
        </is>
      </c>
    </row>
    <row r="86">
      <c r="A86" s="33" t="inlineStr">
        <is>
          <t>JM-09</t>
        </is>
      </c>
      <c r="B86" s="34" t="inlineStr">
        <is>
          <t>Jameah</t>
        </is>
      </c>
      <c r="C86" s="35" t="inlineStr">
        <is>
          <t>Confirm view and column names with the Ministry</t>
        </is>
      </c>
      <c r="D86" s="34" t="inlineStr">
        <is>
          <t>—</t>
        </is>
      </c>
      <c r="E86" s="34" t="inlineStr">
        <is>
          <t>Pending – decision needed</t>
        </is>
      </c>
      <c r="F86" s="34" t="inlineStr">
        <is>
          <t>Ministry contact (Ms. Najah)</t>
        </is>
      </c>
      <c r="G86" s="34" t="inlineStr">
        <is>
          <t>Ministry contact (Ms. Najah)</t>
        </is>
      </c>
      <c r="H86" s="34" t="inlineStr">
        <is>
          <t>Critical</t>
        </is>
      </c>
      <c r="I86" s="35" t="inlineStr">
        <is>
          <t>Views use the HTML names; Ministry schema V0.1 names some columns differently (list in the Jameah report).</t>
        </is>
      </c>
      <c r="J86" s="35" t="inlineStr">
        <is>
          <t>Ask which names the Jameah agent reads; renaming is a small change.</t>
        </is>
      </c>
      <c r="K86" s="35" t="inlineStr">
        <is>
          <t>Jameah report</t>
        </is>
      </c>
      <c r="L86" s="34" t="inlineStr">
        <is>
          <t>21 Oct 2026</t>
        </is>
      </c>
    </row>
    <row r="87">
      <c r="A87" s="33" t="inlineStr">
        <is>
          <t>JM-10</t>
        </is>
      </c>
      <c r="B87" s="34" t="inlineStr">
        <is>
          <t>Jameah</t>
        </is>
      </c>
      <c r="C87" s="35" t="inlineStr">
        <is>
          <t>Fill Jameah Settings (6 values)</t>
        </is>
      </c>
      <c r="D87" s="34" t="inlineStr">
        <is>
          <t>—</t>
        </is>
      </c>
      <c r="E87" s="34" t="inlineStr">
        <is>
          <t>Pending – decision needed</t>
        </is>
      </c>
      <c r="F87" s="34" t="inlineStr">
        <is>
          <t>Academic Affairs</t>
        </is>
      </c>
      <c r="G87" s="34" t="inlineStr">
        <is>
          <t>Academic Affairs</t>
        </is>
      </c>
      <c r="H87" s="34" t="inlineStr">
        <is>
          <t>High</t>
        </is>
      </c>
      <c r="I87" s="35" t="inlineStr">
        <is>
          <t>Empty values are sent as empty.</t>
        </is>
      </c>
      <c r="J87" s="35" t="inlineStr">
        <is>
          <t>College code, campus city, study type (regular/bridging), program duration and unit.</t>
        </is>
      </c>
      <c r="K87" s="35" t="inlineStr">
        <is>
          <t>/app/jameah-settings</t>
        </is>
      </c>
      <c r="L87" s="34" t="inlineStr">
        <is>
          <t>21 Oct 2026</t>
        </is>
      </c>
    </row>
    <row r="88">
      <c r="A88" s="33" t="inlineStr">
        <is>
          <t>JM-11</t>
        </is>
      </c>
      <c r="B88" s="34" t="inlineStr">
        <is>
          <t>Jameah</t>
        </is>
      </c>
      <c r="C88" s="35" t="inlineStr">
        <is>
          <t>Map 3 college values to Ministry codes</t>
        </is>
      </c>
      <c r="D88" s="34" t="inlineStr">
        <is>
          <t>—</t>
        </is>
      </c>
      <c r="E88" s="34" t="inlineStr">
        <is>
          <t>Pending – decision needed</t>
        </is>
      </c>
      <c r="F88" s="34" t="inlineStr">
        <is>
          <t>Academic Affairs</t>
        </is>
      </c>
      <c r="G88" s="34" t="inlineStr">
        <is>
          <t>Academic Affairs</t>
        </is>
      </c>
      <c r="H88" s="34" t="inlineStr">
        <is>
          <t>High</t>
        </is>
      </c>
      <c r="I88" s="35" t="inlineStr">
        <is>
          <t>Program 'Bachelor of Science in Nursing' -&gt; department; Major 'Sciences in Nursing'; status 'Internship' (238 students).</t>
        </is>
      </c>
      <c r="J88" s="35" t="inlineStr">
        <is>
          <t>Pick the code in Jameah Code Map and set Verified.</t>
        </is>
      </c>
      <c r="K88" s="35" t="inlineStr">
        <is>
          <t>/app/jameah-code-map</t>
        </is>
      </c>
      <c r="L88" s="34" t="inlineStr">
        <is>
          <t>21 Oct 2026</t>
        </is>
      </c>
    </row>
    <row r="89">
      <c r="A89" s="33" t="inlineStr">
        <is>
          <t>JM-12</t>
        </is>
      </c>
      <c r="B89" s="34" t="inlineStr">
        <is>
          <t>Jameah</t>
        </is>
      </c>
      <c r="C89" s="35" t="inlineStr">
        <is>
          <t>Ministry fields with no source in the college system</t>
        </is>
      </c>
      <c r="D89" s="34" t="inlineStr">
        <is>
          <t>—</t>
        </is>
      </c>
      <c r="E89" s="34" t="inlineStr">
        <is>
          <t>Pending – decision needed</t>
        </is>
      </c>
      <c r="F89" s="34" t="inlineStr">
        <is>
          <t>Academic Affairs + Abdul Hakeem</t>
        </is>
      </c>
      <c r="G89" s="34" t="inlineStr">
        <is>
          <t>Abdul Hakeem</t>
        </is>
      </c>
      <c r="H89" s="34" t="inlineStr">
        <is>
          <t>Medium</t>
        </is>
      </c>
      <c r="I89" s="35" t="inlineStr">
        <is>
          <t>Students: scholarship, visa, warnings, rewards, clearance, thesis, evaluation grade, major type, language and relationship lists are sent empty. Faculty (added 21 Oct): research type/status/nature/domain/category, publisher, ISBN, edition, pages, publishing place, summary, language, key words; qualification research type, authentication, sub-level, included specialization; experience major/minor and job type; course type list.</t>
        </is>
      </c>
      <c r="J89" s="35" t="inlineStr">
        <is>
          <t>Decide which to capture (Student Ministry Detail is filled for 1,256 of 3,357 students).</t>
        </is>
      </c>
      <c r="K89" s="35" t="inlineStr">
        <is>
          <t>Jameah report; VIEWS.md</t>
        </is>
      </c>
      <c r="L89" s="34" t="inlineStr">
        <is>
          <t>23 Oct 2026</t>
        </is>
      </c>
    </row>
    <row r="90">
      <c r="A90" s="33" t="inlineStr">
        <is>
          <t>JM-13</t>
        </is>
      </c>
      <c r="B90" s="34" t="inlineStr">
        <is>
          <t>Jameah</t>
        </is>
      </c>
      <c r="C90" s="35" t="inlineStr">
        <is>
          <t>Correct source data found by the checks</t>
        </is>
      </c>
      <c r="D90" s="34" t="inlineStr">
        <is>
          <t>—</t>
        </is>
      </c>
      <c r="E90" s="34" t="inlineStr">
        <is>
          <t>Pending – data / setup</t>
        </is>
      </c>
      <c r="F90" s="34" t="inlineStr">
        <is>
          <t>Registrar</t>
        </is>
      </c>
      <c r="G90" s="34" t="inlineStr">
        <is>
          <t>Registrar</t>
        </is>
      </c>
      <c r="H90" s="34" t="inlineStr">
        <is>
          <t>High</t>
        </is>
      </c>
      <c r="I90" s="35" t="inlineStr">
        <is>
          <t>1,067 graduates still 'Enrolled'; 1,378 students on plans with no total credits; 1,266 relative addresses in Sri Lanka; 240 placeholder birth dates; 39 graduates without a graduate document; 7 enrollments without date; 6 orphan rows.</t>
        </is>
      </c>
      <c r="J90" s="35" t="inlineStr">
        <is>
          <t>Fix at the source; the Jameah Data Check page shows the counts.</t>
        </is>
      </c>
      <c r="K90" s="35" t="inlineStr">
        <is>
          <t>/app/jameah-data-check</t>
        </is>
      </c>
      <c r="L90" s="34" t="inlineStr">
        <is>
          <t>23 Oct 2026</t>
        </is>
      </c>
    </row>
    <row r="91">
      <c r="A91" s="33" t="inlineStr">
        <is>
          <t>JM-14</t>
        </is>
      </c>
      <c r="B91" s="34" t="inlineStr">
        <is>
          <t>Jameah</t>
        </is>
      </c>
      <c r="C91" s="35" t="inlineStr">
        <is>
          <t>Faculty views (8 sections)</t>
        </is>
      </c>
      <c r="D91" s="34" t="inlineStr">
        <is>
          <t>21 Oct 2026</t>
        </is>
      </c>
      <c r="E91" s="34" t="inlineStr">
        <is>
          <t>Done</t>
        </is>
      </c>
      <c r="F91" s="34" t="inlineStr">
        <is>
          <t>Abdul Hakeem</t>
        </is>
      </c>
      <c r="G91" s="34" t="inlineStr">
        <is>
          <t>Abdul Hakeem</t>
        </is>
      </c>
      <c r="H91" s="34" t="inlineStr">
        <is>
          <t>High</t>
        </is>
      </c>
      <c r="I91" s="35" t="inlineStr">
        <is>
          <t>8 views (personal info, research, qualifications, academic experience, previous experience, certificates, awards, attachments) with the Ministry document's column names. Faculty = 168 active Instructors; personal data from the Instructor's Jameah fields, else the same person's Employee record; teaching staff are sent once (as Faculty, never as Employees). Rank / status / contract via the Code Map. Verified 8/8 value by value, 0 invalid codes; 5 unit tests. Data is thin until HR completes the Instructor sheet (HR-55).</t>
        </is>
      </c>
      <c r="J91" s="35" t="inlineStr">
        <is>
          <t>Academic Affairs: DEC-12, DEC-13; Ministry: DEC-01.</t>
        </is>
      </c>
      <c r="K91" s="35" t="inlineStr">
        <is>
          <t>jameah/views.py faculty_views; verify.py; VIEWS.md</t>
        </is>
      </c>
      <c r="L91" s="34" t="inlineStr">
        <is>
          <t>21 Oct 2026</t>
        </is>
      </c>
    </row>
    <row r="92">
      <c r="A92" s="33" t="inlineStr">
        <is>
          <t>JM-15</t>
        </is>
      </c>
      <c r="B92" s="34" t="inlineStr">
        <is>
          <t>Jameah</t>
        </is>
      </c>
      <c r="C92" s="35" t="inlineStr">
        <is>
          <t>Institute views (20 sections)</t>
        </is>
      </c>
      <c r="D92" s="34" t="inlineStr">
        <is>
          <t>—</t>
        </is>
      </c>
      <c r="E92" s="34" t="inlineStr">
        <is>
          <t>Pending – development</t>
        </is>
      </c>
      <c r="F92" s="34" t="inlineStr">
        <is>
          <t>Abdul Hakeem</t>
        </is>
      </c>
      <c r="G92" s="34" t="inlineStr">
        <is>
          <t>Abdul Hakeem</t>
        </is>
      </c>
      <c r="H92" s="34" t="inlineStr">
        <is>
          <t>Medium</t>
        </is>
      </c>
      <c r="I92" s="35" t="inlineStr">
        <is>
          <t>Not started.</t>
        </is>
      </c>
      <c r="J92" s="35" t="inlineStr">
        <is>
          <t>Build after Faculty; needs institute data from HR.</t>
        </is>
      </c>
      <c r="K92" s="35" t="inlineStr">
        <is>
          <t>MINISTRY_FIELD_MAPPING.html</t>
        </is>
      </c>
      <c r="L92" s="34" t="inlineStr">
        <is>
          <t>21 Oct 2026</t>
        </is>
      </c>
    </row>
    <row r="93">
      <c r="A93" s="33" t="inlineStr">
        <is>
          <t>JM-16</t>
        </is>
      </c>
      <c r="B93" s="34" t="inlineStr">
        <is>
          <t>Jameah</t>
        </is>
      </c>
      <c r="C93" s="35" t="inlineStr">
        <is>
          <t>Old viewJameah* views (42, earlier version)</t>
        </is>
      </c>
      <c r="D93" s="34" t="inlineStr">
        <is>
          <t>—</t>
        </is>
      </c>
      <c r="E93" s="34" t="inlineStr">
        <is>
          <t>Pending – decision needed</t>
        </is>
      </c>
      <c r="F93" s="34" t="inlineStr">
        <is>
          <t>Abdul Hakeem</t>
        </is>
      </c>
      <c r="G93" s="34" t="inlineStr">
        <is>
          <t>Abdul Hakeem</t>
        </is>
      </c>
      <c r="H93" s="34" t="inlineStr">
        <is>
          <t>Low</t>
        </is>
      </c>
      <c r="I93" s="35" t="inlineStr">
        <is>
          <t>Left untouched; they send record names and NULLs in places. Ours are named jameah*.</t>
        </is>
      </c>
      <c r="J93" s="35" t="inlineStr">
        <is>
          <t>When the Ministry confirms our jameah* views (JM-09), decide whether the old viewJameah* views are dropped.</t>
        </is>
      </c>
      <c r="K93" s="35" t="inlineStr">
        <is>
          <t>jameah_system (old views)</t>
        </is>
      </c>
      <c r="L93" s="34" t="inlineStr">
        <is>
          <t>23 Oct 2026</t>
        </is>
      </c>
    </row>
    <row r="94">
      <c r="A94" s="33" t="inlineStr">
        <is>
          <t>JM-17</t>
        </is>
      </c>
      <c r="B94" s="34" t="inlineStr">
        <is>
          <t>Jameah</t>
        </is>
      </c>
      <c r="C94" s="35" t="inlineStr">
        <is>
          <t>Transcript GPA rounding at exact ties</t>
        </is>
      </c>
      <c r="D94" s="34" t="inlineStr">
        <is>
          <t>21 Oct 2026</t>
        </is>
      </c>
      <c r="E94" s="34" t="inlineStr">
        <is>
          <t>Done</t>
        </is>
      </c>
      <c r="F94" s="34" t="inlineStr">
        <is>
          <t>Abdul Hakeem</t>
        </is>
      </c>
      <c r="G94" s="34" t="inlineStr">
        <is>
          <t>Abdul Hakeem</t>
        </is>
      </c>
      <c r="H94" s="34" t="inlineStr">
        <is>
          <t>Low</t>
        </is>
      </c>
      <c r="I94" s="35" t="inlineStr">
        <is>
          <t>Resolved by the college's official GPA calculation (exact half-up rounding); the Ministry views use it (JM-18).</t>
        </is>
      </c>
      <c r="J94" s="35" t="inlineStr">
        <is>
          <t>None.</t>
        </is>
      </c>
      <c r="K94" s="35" t="inlineStr">
        <is>
          <t>Jameah report</t>
        </is>
      </c>
      <c r="L94" s="34" t="inlineStr">
        <is>
          <t>23 Oct 2026</t>
        </is>
      </c>
    </row>
  </sheetData>
  <autoFilter ref="A1:L94"/>
  <conditionalFormatting sqref="E2:E294">
    <cfRule type="expression" priority="1" dxfId="0" stopIfTrue="1">
      <formula>$E2="Done"</formula>
    </cfRule>
    <cfRule type="expression" priority="2" dxfId="1" stopIfTrue="1">
      <formula>$E2="Done – client UAT pending"</formula>
    </cfRule>
    <cfRule type="expression" priority="3" dxfId="2" stopIfTrue="1">
      <formula>$E2="In progress"</formula>
    </cfRule>
    <cfRule type="expression" priority="4" dxfId="3" stopIfTrue="1">
      <formula>$E2="Pending – decision needed"</formula>
    </cfRule>
    <cfRule type="expression" priority="5" dxfId="4" stopIfTrue="1">
      <formula>$E2="Pending – data / setup"</formula>
    </cfRule>
    <cfRule type="expression" priority="6" dxfId="5" stopIfTrue="1">
      <formula>$E2="Pending – development"</formula>
    </cfRule>
    <cfRule type="expression" priority="7" dxfId="6" stopIfTrue="1">
      <formula>$E2="Pending – other team"</formula>
    </cfRule>
    <cfRule type="expression" priority="8" dxfId="7" stopIfTrue="1">
      <formula>$E2="Planned"</formula>
    </cfRule>
  </conditionalFormatting>
  <conditionalFormatting sqref="H2:H294">
    <cfRule type="expression" priority="9" dxfId="8" stopIfTrue="1">
      <formula>$H2="Critical"</formula>
    </cfRule>
    <cfRule type="expression" priority="10" dxfId="9" stopIfTrue="1">
      <formula>$H2="High"</formula>
    </cfRule>
    <cfRule type="expression" priority="11" dxfId="10" stopIfTrue="1">
      <formula>$H2="Medium"</formula>
    </cfRule>
    <cfRule type="expression" priority="12" dxfId="11" stopIfTrue="1">
      <formula>$H2="Low"</formula>
    </cfRule>
  </conditionalFormatting>
  <dataValidations count="3">
    <dataValidation sqref="E2:E294" showDropDown="0" showInputMessage="0" showErrorMessage="0" allowBlank="0" errorTitle="Status" error="Pick a status from the list." type="list">
      <formula1>"Done,Done – client UAT pending,In progress,Pending – decision needed,Pending – data / setup,Pending – development,Pending – other team,Planned"</formula1>
    </dataValidation>
    <dataValidation sqref="H2:H294" showDropDown="0" showInputMessage="0" showErrorMessage="0" allowBlank="1" type="list">
      <formula1>"Critical,High,Medium,Low"</formula1>
    </dataValidation>
    <dataValidation sqref="G2:G294" showDropDown="0" showInputMessage="0" showErrorMessage="0" allowBlank="1" type="list">
      <formula1>"Abdul Hakeem,Fathir,Dinesh,To assign"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20" customWidth="1" min="3" max="3"/>
    <col width="46" customWidth="1" min="4" max="4"/>
    <col width="42" customWidth="1" min="5" max="5"/>
    <col width="40" customWidth="1" min="6" max="6"/>
    <col width="13" customWidth="1" min="7" max="7"/>
    <col width="18" customWidth="1" min="8" max="8"/>
    <col width="20" customWidth="1" min="9" max="9"/>
    <col width="13" customWidth="1" min="10" max="10"/>
  </cols>
  <sheetData>
    <row r="1" ht="30" customHeight="1">
      <c r="A1" s="21" t="inlineStr">
        <is>
          <t>Bug ID</t>
        </is>
      </c>
      <c r="B1" s="21" t="inlineStr">
        <is>
          <t>Found on</t>
        </is>
      </c>
      <c r="C1" s="21" t="inlineStr">
        <is>
          <t>Area</t>
        </is>
      </c>
      <c r="D1" s="21" t="inlineStr">
        <is>
          <t>Problem</t>
        </is>
      </c>
      <c r="E1" s="21" t="inlineStr">
        <is>
          <t>Cause</t>
        </is>
      </c>
      <c r="F1" s="21" t="inlineStr">
        <is>
          <t>Fix</t>
        </is>
      </c>
      <c r="G1" s="21" t="inlineStr">
        <is>
          <t>Commit / task</t>
        </is>
      </c>
      <c r="H1" s="21" t="inlineStr">
        <is>
          <t>Status</t>
        </is>
      </c>
      <c r="I1" s="21" t="inlineStr">
        <is>
          <t>How verified</t>
        </is>
      </c>
      <c r="J1" s="21" t="inlineStr">
        <is>
          <t>Last updated</t>
        </is>
      </c>
    </row>
    <row r="2">
      <c r="A2" s="34" t="inlineStr">
        <is>
          <t>B-01</t>
        </is>
      </c>
      <c r="B2" s="34" t="inlineStr">
        <is>
          <t>19 Oct 2026</t>
        </is>
      </c>
      <c r="C2" s="34" t="inlineStr">
        <is>
          <t>Travel Request</t>
        </is>
      </c>
      <c r="D2" s="35" t="inlineStr">
        <is>
          <t>Every save crashed</t>
        </is>
      </c>
      <c r="E2" s="35" t="inlineStr">
        <is>
          <t>Validation read fields that don't exist</t>
        </is>
      </c>
      <c r="F2" s="35" t="inlineStr">
        <is>
          <t>Cost read from costings, checked on submit</t>
        </is>
      </c>
      <c r="G2" s="34" t="inlineStr">
        <is>
          <t>91b7697</t>
        </is>
      </c>
      <c r="H2" s="34" t="inlineStr">
        <is>
          <t>Fixed</t>
        </is>
      </c>
      <c r="I2" s="35" t="inlineStr">
        <is>
          <t>E2E 19 Oct</t>
        </is>
      </c>
      <c r="J2" s="34" t="inlineStr">
        <is>
          <t>21 Oct 2026</t>
        </is>
      </c>
    </row>
    <row r="3">
      <c r="A3" s="34" t="inlineStr">
        <is>
          <t>B-02</t>
        </is>
      </c>
      <c r="B3" s="34" t="inlineStr">
        <is>
          <t>19 Oct 2026</t>
        </is>
      </c>
      <c r="C3" s="34" t="inlineStr">
        <is>
          <t>Approvals</t>
        </is>
      </c>
      <c r="D3" s="35" t="inlineStr">
        <is>
          <t>Finance approval impossible</t>
        </is>
      </c>
      <c r="E3" s="35" t="inlineStr">
        <is>
          <t>Hooks accepted only Finance Manager, which had no access</t>
        </is>
      </c>
      <c r="F3" s="35" t="inlineStr">
        <is>
          <t>Accept Finance Manager or Accounts Manager; grant access</t>
        </is>
      </c>
      <c r="G3" s="34" t="inlineStr">
        <is>
          <t>91b7697</t>
        </is>
      </c>
      <c r="H3" s="34" t="inlineStr">
        <is>
          <t>Fixed</t>
        </is>
      </c>
      <c r="I3" s="35" t="inlineStr">
        <is>
          <t>E2E 19 Oct</t>
        </is>
      </c>
      <c r="J3" s="34" t="inlineStr">
        <is>
          <t>21 Oct 2026</t>
        </is>
      </c>
    </row>
    <row r="4">
      <c r="A4" s="34" t="inlineStr">
        <is>
          <t>B-03</t>
        </is>
      </c>
      <c r="B4" s="34" t="inlineStr">
        <is>
          <t>19 Oct 2026</t>
        </is>
      </c>
      <c r="C4" s="34" t="inlineStr">
        <is>
          <t>Return from Leave</t>
        </is>
      </c>
      <c r="D4" s="35" t="inlineStr">
        <is>
          <t>Employees could not send the request</t>
        </is>
      </c>
      <c r="E4" s="35" t="inlineStr">
        <is>
          <t>Clearance guard compared against the wrong default</t>
        </is>
      </c>
      <c r="F4" s="35" t="inlineStr">
        <is>
          <t>Compare with the Select's first option</t>
        </is>
      </c>
      <c r="G4" s="34" t="inlineStr">
        <is>
          <t>91b7697</t>
        </is>
      </c>
      <c r="H4" s="34" t="inlineStr">
        <is>
          <t>Fixed</t>
        </is>
      </c>
      <c r="I4" s="35" t="inlineStr">
        <is>
          <t>E2E APR-06</t>
        </is>
      </c>
      <c r="J4" s="34" t="inlineStr">
        <is>
          <t>21 Oct 2026</t>
        </is>
      </c>
    </row>
    <row r="5">
      <c r="A5" s="34" t="inlineStr">
        <is>
          <t>B-04</t>
        </is>
      </c>
      <c r="B5" s="34" t="inlineStr">
        <is>
          <t>19 Oct 2026</t>
        </is>
      </c>
      <c r="C5" s="34" t="inlineStr">
        <is>
          <t>Children Medical Allowance</t>
        </is>
      </c>
      <c r="D5" s="35" t="inlineStr">
        <is>
          <t>Every claim blocked, even drafts</t>
        </is>
      </c>
      <c r="E5" s="35" t="inlineStr">
        <is>
          <t>Unused Employee Grade requirement</t>
        </is>
      </c>
      <c r="F5" s="35" t="inlineStr">
        <is>
          <t>Requirement removed</t>
        </is>
      </c>
      <c r="G5" s="34" t="inlineStr">
        <is>
          <t>91b7697</t>
        </is>
      </c>
      <c r="H5" s="34" t="inlineStr">
        <is>
          <t>Fixed</t>
        </is>
      </c>
      <c r="I5" s="35" t="inlineStr">
        <is>
          <t>E2E ESS-12</t>
        </is>
      </c>
      <c r="J5" s="34" t="inlineStr">
        <is>
          <t>21 Oct 2026</t>
        </is>
      </c>
    </row>
    <row r="6">
      <c r="A6" s="34" t="inlineStr">
        <is>
          <t>B-05</t>
        </is>
      </c>
      <c r="B6" s="34" t="inlineStr">
        <is>
          <t>19 Oct 2026</t>
        </is>
      </c>
      <c r="C6" s="34" t="inlineStr">
        <is>
          <t>Medical License</t>
        </is>
      </c>
      <c r="D6" s="35" t="inlineStr">
        <is>
          <t>Employees could list everyone's licences</t>
        </is>
      </c>
      <c r="E6" s="35" t="inlineStr">
        <is>
          <t>No own-record rule</t>
        </is>
      </c>
      <c r="F6" s="35" t="inlineStr">
        <is>
          <t>Own-record permission rules</t>
        </is>
      </c>
      <c r="G6" s="34" t="inlineStr">
        <is>
          <t>91b7697</t>
        </is>
      </c>
      <c r="H6" s="34" t="inlineStr">
        <is>
          <t>Fixed</t>
        </is>
      </c>
      <c r="I6" s="35" t="inlineStr">
        <is>
          <t>E2E LIC-02</t>
        </is>
      </c>
      <c r="J6" s="34" t="inlineStr">
        <is>
          <t>21 Oct 2026</t>
        </is>
      </c>
    </row>
    <row r="7">
      <c r="A7" s="34" t="inlineStr">
        <is>
          <t>B-06</t>
        </is>
      </c>
      <c r="B7" s="34" t="inlineStr">
        <is>
          <t>19 Oct 2026</t>
        </is>
      </c>
      <c r="C7" s="34" t="inlineStr">
        <is>
          <t>HR Dashboard</t>
        </is>
      </c>
      <c r="D7" s="35" t="inlineStr">
        <is>
          <t>Return-from-leave count always 0</t>
        </is>
      </c>
      <c r="E7" s="35" t="inlineStr">
        <is>
          <t>Doctype name casing</t>
        </is>
      </c>
      <c r="F7" s="35" t="inlineStr">
        <is>
          <t>Corrected</t>
        </is>
      </c>
      <c r="G7" s="34" t="inlineStr">
        <is>
          <t>91b7697</t>
        </is>
      </c>
      <c r="H7" s="34" t="inlineStr">
        <is>
          <t>Fixed</t>
        </is>
      </c>
      <c r="I7" s="35" t="inlineStr">
        <is>
          <t>E2E HRD-02</t>
        </is>
      </c>
      <c r="J7" s="34" t="inlineStr">
        <is>
          <t>21 Oct 2026</t>
        </is>
      </c>
    </row>
    <row r="8">
      <c r="A8" s="34" t="inlineStr">
        <is>
          <t>B-07</t>
        </is>
      </c>
      <c r="B8" s="34" t="inlineStr">
        <is>
          <t>19 Oct 2026</t>
        </is>
      </c>
      <c r="C8" s="34" t="inlineStr">
        <is>
          <t>Employee Dashboard</t>
        </is>
      </c>
      <c r="D8" s="35" t="inlineStr">
        <is>
          <t>Drafts counted as pending</t>
        </is>
      </c>
      <c r="E8" s="35" t="inlineStr">
        <is>
          <t>Status filter</t>
        </is>
      </c>
      <c r="F8" s="35" t="inlineStr">
        <is>
          <t>Drafts excluded</t>
        </is>
      </c>
      <c r="G8" s="34" t="inlineStr">
        <is>
          <t>91b7697</t>
        </is>
      </c>
      <c r="H8" s="34" t="inlineStr">
        <is>
          <t>Fixed</t>
        </is>
      </c>
      <c r="I8" s="35" t="inlineStr">
        <is>
          <t>E2E ESS-15</t>
        </is>
      </c>
      <c r="J8" s="34" t="inlineStr">
        <is>
          <t>21 Oct 2026</t>
        </is>
      </c>
    </row>
    <row r="9">
      <c r="A9" s="34" t="inlineStr">
        <is>
          <t>B-08</t>
        </is>
      </c>
      <c r="B9" s="34" t="inlineStr">
        <is>
          <t>19 Oct 2026</t>
        </is>
      </c>
      <c r="C9" s="34" t="inlineStr">
        <is>
          <t>Recruitment (security)</t>
        </is>
      </c>
      <c r="D9" s="35" t="inlineStr">
        <is>
          <t>A guest could obtain System Manager via the public form</t>
        </is>
      </c>
      <c r="E9" s="35" t="inlineStr">
        <is>
          <t>Role taken from the guest payload</t>
        </is>
      </c>
      <c r="F9" s="35" t="inlineStr">
        <is>
          <t>Hireable-role allow-list, server-controlled fields protected</t>
        </is>
      </c>
      <c r="G9" s="34" t="inlineStr">
        <is>
          <t>0ab539e</t>
        </is>
      </c>
      <c r="H9" s="34" t="inlineStr">
        <is>
          <t>Fixed</t>
        </is>
      </c>
      <c r="I9" s="35" t="inlineStr">
        <is>
          <t>E2E REC-02</t>
        </is>
      </c>
      <c r="J9" s="34" t="inlineStr">
        <is>
          <t>21 Oct 2026</t>
        </is>
      </c>
    </row>
    <row r="10">
      <c r="A10" s="34" t="inlineStr">
        <is>
          <t>B-09</t>
        </is>
      </c>
      <c r="B10" s="34" t="inlineStr">
        <is>
          <t>19 Oct 2026</t>
        </is>
      </c>
      <c r="C10" s="34" t="inlineStr">
        <is>
          <t>Recruitment</t>
        </is>
      </c>
      <c r="D10" s="35" t="inlineStr">
        <is>
          <t>Academic hires landed on dashboards that couldn't find them</t>
        </is>
      </c>
      <c r="E10" s="35" t="inlineStr">
        <is>
          <t>Only an Instructor record was created</t>
        </is>
      </c>
      <c r="F10" s="35" t="inlineStr">
        <is>
          <t>Records per role (Advisor, HOD...)</t>
        </is>
      </c>
      <c r="G10" s="34" t="inlineStr">
        <is>
          <t>8390598</t>
        </is>
      </c>
      <c r="H10" s="34" t="inlineStr">
        <is>
          <t>Fixed</t>
        </is>
      </c>
      <c r="I10" s="35" t="inlineStr">
        <is>
          <t>E2E REC-03/04</t>
        </is>
      </c>
      <c r="J10" s="34" t="inlineStr">
        <is>
          <t>21 Oct 2026</t>
        </is>
      </c>
    </row>
    <row r="11">
      <c r="A11" s="34" t="inlineStr">
        <is>
          <t>B-10</t>
        </is>
      </c>
      <c r="B11" s="34" t="inlineStr">
        <is>
          <t>19 Oct 2026</t>
        </is>
      </c>
      <c r="C11" s="34" t="inlineStr">
        <is>
          <t>Ministry codes</t>
        </is>
      </c>
      <c r="D11" s="35" t="inlineStr">
        <is>
          <t>8,330 codes showed the code as their name; no Arabic</t>
        </is>
      </c>
      <c r="E11" s="35" t="inlineStr">
        <is>
          <t>Importer read only the translated workbook</t>
        </is>
      </c>
      <c r="F11" s="35" t="inlineStr">
        <is>
          <t>Merge Arabic + translated workbooks</t>
        </is>
      </c>
      <c r="G11" s="34" t="inlineStr">
        <is>
          <t>277442b</t>
        </is>
      </c>
      <c r="H11" s="34" t="inlineStr">
        <is>
          <t>Fixed</t>
        </is>
      </c>
      <c r="I11" s="35" t="inlineStr">
        <is>
          <t>Data check</t>
        </is>
      </c>
      <c r="J11" s="34" t="inlineStr">
        <is>
          <t>21 Oct 2026</t>
        </is>
      </c>
    </row>
    <row r="12">
      <c r="A12" s="34" t="inlineStr">
        <is>
          <t>B-11</t>
        </is>
      </c>
      <c r="B12" s="34" t="inlineStr">
        <is>
          <t>19 Oct 2026</t>
        </is>
      </c>
      <c r="C12" s="34" t="inlineStr">
        <is>
          <t>Registration</t>
        </is>
      </c>
      <c r="D12" s="35" t="inlineStr">
        <is>
          <t>Home-country ID required for non-Saudis instead of the Kingdom ID</t>
        </is>
      </c>
      <c r="E12" s="35" t="inlineStr">
        <is>
          <t>Wrong rule</t>
        </is>
      </c>
      <c r="F12" s="35" t="inlineStr">
        <is>
          <t>Ministry identity rules</t>
        </is>
      </c>
      <c r="G12" s="34" t="inlineStr">
        <is>
          <t>1f88c78</t>
        </is>
      </c>
      <c r="H12" s="34" t="inlineStr">
        <is>
          <t>Fixed</t>
        </is>
      </c>
      <c r="I12" s="35" t="inlineStr">
        <is>
          <t>Unit + E2E EMP-05/06</t>
        </is>
      </c>
      <c r="J12" s="34" t="inlineStr">
        <is>
          <t>21 Oct 2026</t>
        </is>
      </c>
    </row>
    <row r="13">
      <c r="A13" s="34" t="inlineStr">
        <is>
          <t>B-12</t>
        </is>
      </c>
      <c r="B13" s="34" t="inlineStr">
        <is>
          <t>20 Oct 2026</t>
        </is>
      </c>
      <c r="C13" s="34" t="inlineStr">
        <is>
          <t>Academic presence</t>
        </is>
      </c>
      <c r="D13" s="35" t="inlineStr">
        <is>
          <t>Students on campus undercounted</t>
        </is>
      </c>
      <c r="E13" s="35" t="inlineStr">
        <is>
          <t>Weekly timetable slots not expanded</t>
        </is>
      </c>
      <c r="F13" s="35" t="inlineStr">
        <is>
          <t>Expand slots week by week within the term</t>
        </is>
      </c>
      <c r="G13" s="34" t="inlineStr">
        <is>
          <t>0578d3d</t>
        </is>
      </c>
      <c r="H13" s="34" t="inlineStr">
        <is>
          <t>Fixed</t>
        </is>
      </c>
      <c r="I13" s="35" t="inlineStr">
        <is>
          <t>397 present matched attendance</t>
        </is>
      </c>
      <c r="J13" s="34" t="inlineStr">
        <is>
          <t>21 Oct 2026</t>
        </is>
      </c>
    </row>
    <row r="14">
      <c r="A14" s="34" t="inlineStr">
        <is>
          <t>B-13</t>
        </is>
      </c>
      <c r="B14" s="34" t="inlineStr">
        <is>
          <t>20 Oct 2026</t>
        </is>
      </c>
      <c r="C14" s="34" t="inlineStr">
        <is>
          <t>Employee master</t>
        </is>
      </c>
      <c r="D14" s="35" t="inlineStr">
        <is>
          <t>Saving any employee with a login failed (Gender::1)</t>
        </is>
      </c>
      <c r="E14" s="35" t="inlineStr">
        <is>
          <t>ERPNext copies Ministry gender code to the User</t>
        </is>
      </c>
      <c r="F14" s="35" t="inlineStr">
        <is>
          <t>Employee controller maps it to the core Gender</t>
        </is>
      </c>
      <c r="G14" s="34" t="inlineStr">
        <is>
          <t>7f0c5fc</t>
        </is>
      </c>
      <c r="H14" s="34" t="inlineStr">
        <is>
          <t>Fixed</t>
        </is>
      </c>
      <c r="I14" s="35" t="inlineStr">
        <is>
          <t>E2E EMP-01</t>
        </is>
      </c>
      <c r="J14" s="34" t="inlineStr">
        <is>
          <t>21 Oct 2026</t>
        </is>
      </c>
    </row>
    <row r="15">
      <c r="A15" s="34" t="inlineStr">
        <is>
          <t>B-14</t>
        </is>
      </c>
      <c r="B15" s="34" t="inlineStr">
        <is>
          <t>20 Oct 2026</t>
        </is>
      </c>
      <c r="C15" s="34" t="inlineStr">
        <is>
          <t>Leave Return Request</t>
        </is>
      </c>
      <c r="D15" s="35" t="inlineStr">
        <is>
          <t>HR list view and counts failed</t>
        </is>
      </c>
      <c r="E15" s="35" t="inlineStr">
        <is>
          <t>Frappe rejects ' from ' in table names</t>
        </is>
      </c>
      <c r="F15" s="35" t="inlineStr">
        <is>
          <t>Doctype renamed with a migration patch</t>
        </is>
      </c>
      <c r="G15" s="34" t="inlineStr">
        <is>
          <t>7f0c5fc</t>
        </is>
      </c>
      <c r="H15" s="34" t="inlineStr">
        <is>
          <t>Fixed</t>
        </is>
      </c>
      <c r="I15" s="35" t="inlineStr">
        <is>
          <t>E2E APR-07</t>
        </is>
      </c>
      <c r="J15" s="34" t="inlineStr">
        <is>
          <t>21 Oct 2026</t>
        </is>
      </c>
    </row>
    <row r="16">
      <c r="A16" s="34" t="inlineStr">
        <is>
          <t>B-15</t>
        </is>
      </c>
      <c r="B16" s="34" t="inlineStr">
        <is>
          <t>20 Oct 2026</t>
        </is>
      </c>
      <c r="C16" s="34" t="inlineStr">
        <is>
          <t>Leave Control Panel</t>
        </is>
      </c>
      <c r="D16" s="35" t="inlineStr">
        <is>
          <t>Error for HR without an Employee record</t>
        </is>
      </c>
      <c r="E16" s="35" t="inlineStr">
        <is>
          <t>No Company read permission</t>
        </is>
      </c>
      <c r="F16" s="35" t="inlineStr">
        <is>
          <t>HR read on Company</t>
        </is>
      </c>
      <c r="G16" s="34" t="inlineStr">
        <is>
          <t>7f0c5fc</t>
        </is>
      </c>
      <c r="H16" s="34" t="inlineStr">
        <is>
          <t>Fixed</t>
        </is>
      </c>
      <c r="I16" s="35" t="inlineStr">
        <is>
          <t>E2E HRD-03</t>
        </is>
      </c>
      <c r="J16" s="34" t="inlineStr">
        <is>
          <t>21 Oct 2026</t>
        </is>
      </c>
    </row>
    <row r="17">
      <c r="A17" s="34" t="inlineStr">
        <is>
          <t>B-16</t>
        </is>
      </c>
      <c r="B17" s="34" t="inlineStr">
        <is>
          <t>20 Oct 2026</t>
        </is>
      </c>
      <c r="C17" s="34" t="inlineStr">
        <is>
          <t>HR Dashboard</t>
        </is>
      </c>
      <c r="D17" s="35" t="inlineStr">
        <is>
          <t>Travel Request link refused for HR</t>
        </is>
      </c>
      <c r="E17" s="35" t="inlineStr">
        <is>
          <t>HRMS grants System Manager only</t>
        </is>
      </c>
      <c r="F17" s="35" t="inlineStr">
        <is>
          <t>HR permissions on Travel Request</t>
        </is>
      </c>
      <c r="G17" s="34" t="inlineStr">
        <is>
          <t>7f0c5fc</t>
        </is>
      </c>
      <c r="H17" s="34" t="inlineStr">
        <is>
          <t>Fixed</t>
        </is>
      </c>
      <c r="I17" s="35" t="inlineStr">
        <is>
          <t>E2E HRD-03</t>
        </is>
      </c>
      <c r="J17" s="34" t="inlineStr">
        <is>
          <t>21 Oct 2026</t>
        </is>
      </c>
    </row>
    <row r="18">
      <c r="A18" s="34" t="inlineStr">
        <is>
          <t>B-17</t>
        </is>
      </c>
      <c r="B18" s="34" t="inlineStr">
        <is>
          <t>20 Oct 2026</t>
        </is>
      </c>
      <c r="C18" s="34" t="inlineStr">
        <is>
          <t>Academic presence</t>
        </is>
      </c>
      <c r="D18" s="35" t="inlineStr">
        <is>
          <t>Faculty filter unusable for HR</t>
        </is>
      </c>
      <c r="E18" s="35" t="inlineStr">
        <is>
          <t>No Instructor read for HR</t>
        </is>
      </c>
      <c r="F18" s="35" t="inlineStr">
        <is>
          <t>Read-only Instructor access</t>
        </is>
      </c>
      <c r="G18" s="34" t="inlineStr">
        <is>
          <t>7f0c5fc</t>
        </is>
      </c>
      <c r="H18" s="34" t="inlineStr">
        <is>
          <t>Fixed</t>
        </is>
      </c>
      <c r="I18" s="35" t="inlineStr">
        <is>
          <t>E2E PRS-02</t>
        </is>
      </c>
      <c r="J18" s="34" t="inlineStr">
        <is>
          <t>21 Oct 2026</t>
        </is>
      </c>
    </row>
    <row r="19">
      <c r="A19" s="34" t="inlineStr">
        <is>
          <t>B-18</t>
        </is>
      </c>
      <c r="B19" s="34" t="inlineStr">
        <is>
          <t>20 Oct 2026</t>
        </is>
      </c>
      <c r="C19" s="34" t="inlineStr">
        <is>
          <t>Recruitment</t>
        </is>
      </c>
      <c r="D19" s="35" t="inlineStr">
        <is>
          <t>HR could not create Job Application Links</t>
        </is>
      </c>
      <c r="E19" s="35" t="inlineStr">
        <is>
          <t>No select permission on Role</t>
        </is>
      </c>
      <c r="F19" s="35" t="inlineStr">
        <is>
          <t>Select-only Role, filtered to hireable roles</t>
        </is>
      </c>
      <c r="G19" s="34" t="inlineStr">
        <is>
          <t>7f0c5fc</t>
        </is>
      </c>
      <c r="H19" s="34" t="inlineStr">
        <is>
          <t>Fixed</t>
        </is>
      </c>
      <c r="I19" s="35" t="inlineStr">
        <is>
          <t>E2E REC-03</t>
        </is>
      </c>
      <c r="J19" s="34" t="inlineStr">
        <is>
          <t>21 Oct 2026</t>
        </is>
      </c>
    </row>
    <row r="20">
      <c r="A20" s="34" t="inlineStr">
        <is>
          <t>B-19</t>
        </is>
      </c>
      <c r="B20" s="34" t="inlineStr">
        <is>
          <t>20 Oct 2026</t>
        </is>
      </c>
      <c r="C20" s="34" t="inlineStr">
        <is>
          <t>Recruitment</t>
        </is>
      </c>
      <c r="D20" s="35" t="inlineStr">
        <is>
          <t>Create Employee dialog refused the department</t>
        </is>
      </c>
      <c r="E20" s="35" t="inlineStr">
        <is>
          <t>No Department Edu read for HR</t>
        </is>
      </c>
      <c r="F20" s="35" t="inlineStr">
        <is>
          <t>Read-only Department Edu</t>
        </is>
      </c>
      <c r="G20" s="34" t="inlineStr">
        <is>
          <t>7f0c5fc</t>
        </is>
      </c>
      <c r="H20" s="34" t="inlineStr">
        <is>
          <t>Fixed</t>
        </is>
      </c>
      <c r="I20" s="35" t="inlineStr">
        <is>
          <t>E2E REC-03</t>
        </is>
      </c>
      <c r="J20" s="34" t="inlineStr">
        <is>
          <t>21 Oct 2026</t>
        </is>
      </c>
    </row>
    <row r="21">
      <c r="A21" s="34" t="inlineStr">
        <is>
          <t>B-20</t>
        </is>
      </c>
      <c r="B21" s="34" t="inlineStr">
        <is>
          <t>20 Oct 2026</t>
        </is>
      </c>
      <c r="C21" s="34" t="inlineStr">
        <is>
          <t>Employee pages</t>
        </is>
      </c>
      <c r="D21" s="35" t="inlineStr">
        <is>
          <t>Script error on every employee list/form page</t>
        </is>
      </c>
      <c r="E21" s="35" t="inlineStr">
        <is>
          <t>Router not ready on first load</t>
        </is>
      </c>
      <c r="F21" s="35" t="inlineStr">
        <is>
          <t>Null guard</t>
        </is>
      </c>
      <c r="G21" s="34" t="inlineStr">
        <is>
          <t>7f0c5fc</t>
        </is>
      </c>
      <c r="H21" s="34" t="inlineStr">
        <is>
          <t>Fixed</t>
        </is>
      </c>
      <c r="I21" s="35" t="inlineStr">
        <is>
          <t>Error sweep</t>
        </is>
      </c>
      <c r="J21" s="34" t="inlineStr">
        <is>
          <t>21 Oct 2026</t>
        </is>
      </c>
    </row>
    <row r="22">
      <c r="A22" s="34" t="inlineStr">
        <is>
          <t>B-21</t>
        </is>
      </c>
      <c r="B22" s="34" t="inlineStr">
        <is>
          <t>20 Oct 2026</t>
        </is>
      </c>
      <c r="C22" s="34" t="inlineStr">
        <is>
          <t>Job application form</t>
        </is>
      </c>
      <c r="D22" s="35" t="inlineStr">
        <is>
          <t>Extension accepted letters, failed after submit</t>
        </is>
      </c>
      <c r="E22" s="35" t="inlineStr">
        <is>
          <t>Text input for a phone field</t>
        </is>
      </c>
      <c r="F22" s="35" t="inlineStr">
        <is>
          <t>Phone input</t>
        </is>
      </c>
      <c r="G22" s="34" t="inlineStr">
        <is>
          <t>7f0c5fc</t>
        </is>
      </c>
      <c r="H22" s="34" t="inlineStr">
        <is>
          <t>Fixed</t>
        </is>
      </c>
      <c r="I22" s="35" t="inlineStr">
        <is>
          <t>E2E REC</t>
        </is>
      </c>
      <c r="J22" s="34" t="inlineStr">
        <is>
          <t>21 Oct 2026</t>
        </is>
      </c>
    </row>
    <row r="23">
      <c r="A23" s="34" t="inlineStr">
        <is>
          <t>B-22</t>
        </is>
      </c>
      <c r="B23" s="34" t="inlineStr">
        <is>
          <t>20 Oct 2026</t>
        </is>
      </c>
      <c r="C23" s="34" t="inlineStr">
        <is>
          <t>Registration</t>
        </is>
      </c>
      <c r="D23" s="35" t="inlineStr">
        <is>
          <t>'Appreciation' offered GPA systems instead of grades</t>
        </is>
      </c>
      <c r="E23" s="35" t="inlineStr">
        <is>
          <t>Wrong Ministry list in config</t>
        </is>
      </c>
      <c r="F23" s="35" t="inlineStr">
        <is>
          <t>Student Evaluation Coding list</t>
        </is>
      </c>
      <c r="G23" s="34" t="inlineStr">
        <is>
          <t>d690cb7</t>
        </is>
      </c>
      <c r="H23" s="34" t="inlineStr">
        <is>
          <t>Fixed</t>
        </is>
      </c>
      <c r="I23" s="35" t="inlineStr">
        <is>
          <t>E2E REC-05</t>
        </is>
      </c>
      <c r="J23" s="34" t="inlineStr">
        <is>
          <t>21 Oct 2026</t>
        </is>
      </c>
    </row>
    <row r="24">
      <c r="A24" s="34" t="inlineStr">
        <is>
          <t>B-23</t>
        </is>
      </c>
      <c r="B24" s="34" t="inlineStr">
        <is>
          <t>20 Oct 2026</t>
        </is>
      </c>
      <c r="C24" s="34" t="inlineStr">
        <is>
          <t>Recruitment</t>
        </is>
      </c>
      <c r="D24" s="35" t="inlineStr">
        <is>
          <t>Work/home phone and application details lost on conversion</t>
        </is>
      </c>
      <c r="E24" s="35" t="inlineStr">
        <is>
          <t>Fields missing on Employee</t>
        </is>
      </c>
      <c r="F24" s="35" t="inlineStr">
        <is>
          <t>Fields added</t>
        </is>
      </c>
      <c r="G24" s="34" t="inlineStr">
        <is>
          <t>d690cb7</t>
        </is>
      </c>
      <c r="H24" s="34" t="inlineStr">
        <is>
          <t>Fixed</t>
        </is>
      </c>
      <c r="I24" s="35" t="inlineStr">
        <is>
          <t>E2E REC-06</t>
        </is>
      </c>
      <c r="J24" s="34" t="inlineStr">
        <is>
          <t>21 Oct 2026</t>
        </is>
      </c>
    </row>
    <row r="25">
      <c r="A25" s="34" t="inlineStr">
        <is>
          <t>B-24</t>
        </is>
      </c>
      <c r="B25" s="34" t="inlineStr">
        <is>
          <t>21 Oct 2026</t>
        </is>
      </c>
      <c r="C25" s="34" t="inlineStr">
        <is>
          <t>Login</t>
        </is>
      </c>
      <c r="D25" s="35" t="inlineStr">
        <is>
          <t>HR users not taken to the HR Dashboard</t>
        </is>
      </c>
      <c r="E25" s="35" t="inlineStr">
        <is>
          <t>The education app (master) has no HR roles in its landing list</t>
        </is>
      </c>
      <c r="F25" s="35" t="inlineStr">
        <is>
          <t>medical_hrms boot_session hook</t>
        </is>
      </c>
      <c r="G25" s="34" t="inlineStr">
        <is>
          <t>1ee80cd</t>
        </is>
      </c>
      <c r="H25" s="34" t="inlineStr">
        <is>
          <t>Fixed</t>
        </is>
      </c>
      <c r="I25" s="35" t="inlineStr">
        <is>
          <t>E2E LGN-01/02</t>
        </is>
      </c>
      <c r="J25" s="34" t="inlineStr">
        <is>
          <t>23 Oct 2026</t>
        </is>
      </c>
    </row>
    <row r="26">
      <c r="A26" s="34" t="inlineStr">
        <is>
          <t>B-29</t>
        </is>
      </c>
      <c r="B26" s="34" t="inlineStr">
        <is>
          <t>21 Oct 2026</t>
        </is>
      </c>
      <c r="C26" s="34" t="inlineStr">
        <is>
          <t>Requests</t>
        </is>
      </c>
      <c r="D26" s="35" t="inlineStr">
        <is>
          <t>HR opening a new Expense Claim got 'You do not have Read or Select Permissions for Cost Center'</t>
        </is>
      </c>
      <c r="E26" s="35" t="inlineStr">
        <is>
          <t>HR roles had no select permission on Cost Center / Project</t>
        </is>
      </c>
      <c r="F26" s="35" t="inlineStr">
        <is>
          <t>Select-only Cost Center and Project for HR User and HR Manager</t>
        </is>
      </c>
      <c r="G26" s="34" t="inlineStr">
        <is>
          <t>HR-60</t>
        </is>
      </c>
      <c r="H26" s="34" t="inlineStr">
        <is>
          <t>Fixed</t>
        </is>
      </c>
      <c r="I26" s="35" t="inlineStr">
        <is>
          <t>Error sweep SWP-01/02</t>
        </is>
      </c>
      <c r="J26" s="34" t="inlineStr">
        <is>
          <t>21 Oct 2026</t>
        </is>
      </c>
    </row>
    <row r="27">
      <c r="A27" s="34" t="inlineStr">
        <is>
          <t>B-30</t>
        </is>
      </c>
      <c r="B27" s="34" t="inlineStr">
        <is>
          <t>21 Oct 2026</t>
        </is>
      </c>
      <c r="C27" s="34" t="inlineStr">
        <is>
          <t>Recruitment</t>
        </is>
      </c>
      <c r="D27" s="35" t="inlineStr">
        <is>
          <t>Academic hire with a personal e-mail: Employee created, Instructor record not created (orange warning)</t>
        </is>
      </c>
      <c r="E27" s="35" t="inlineStr">
        <is>
          <t>The education app (master) requires @alriyada.edu.sa for Instructors</t>
        </is>
      </c>
      <c r="F27" s="35" t="inlineStr">
        <is>
          <t>Refuse up front with 'College E-mail Needed'; dialog hint</t>
        </is>
      </c>
      <c r="G27" s="34" t="inlineStr">
        <is>
          <t>HR-61</t>
        </is>
      </c>
      <c r="H27" s="34" t="inlineStr">
        <is>
          <t>Fixed</t>
        </is>
      </c>
      <c r="I27" s="35" t="inlineStr">
        <is>
          <t>E2E REC-03/04/08</t>
        </is>
      </c>
      <c r="J27" s="34" t="inlineStr">
        <is>
          <t>23 Oct 2026</t>
        </is>
      </c>
    </row>
    <row r="28">
      <c r="A28" s="34" t="inlineStr">
        <is>
          <t>B-31</t>
        </is>
      </c>
      <c r="B28" s="34" t="inlineStr">
        <is>
          <t>21 Oct 2026</t>
        </is>
      </c>
      <c r="C28" s="34" t="inlineStr">
        <is>
          <t>Security</t>
        </is>
      </c>
      <c r="D28" s="35" t="inlineStr">
        <is>
          <t>HR User: Holiday List opened 'Not permitted'</t>
        </is>
      </c>
      <c r="E28" s="35" t="inlineStr">
        <is>
          <t>ERPNext grants Holiday List to HR Manager only</t>
        </is>
      </c>
      <c r="F28" s="35" t="inlineStr">
        <is>
          <t>Read-only Holiday List for HR User</t>
        </is>
      </c>
      <c r="G28" s="34" t="inlineStr">
        <is>
          <t>HR-62</t>
        </is>
      </c>
      <c r="H28" s="34" t="inlineStr">
        <is>
          <t>Fixed</t>
        </is>
      </c>
      <c r="I28" s="35" t="inlineStr">
        <is>
          <t>Error sweep SWP-02</t>
        </is>
      </c>
      <c r="J28" s="34" t="inlineStr">
        <is>
          <t>21 Oct 2026</t>
        </is>
      </c>
    </row>
    <row r="29">
      <c r="A29" s="34" t="inlineStr">
        <is>
          <t>B-32</t>
        </is>
      </c>
      <c r="B29" s="34" t="inlineStr">
        <is>
          <t>21 Oct 2026</t>
        </is>
      </c>
      <c r="C29" s="34" t="inlineStr">
        <is>
          <t>Registration</t>
        </is>
      </c>
      <c r="D29" s="35" t="inlineStr">
        <is>
          <t>Non-Saudi employee: opening the form cleared the Iqama number and blocked saving</t>
        </is>
      </c>
      <c r="E29" s="35" t="inlineStr">
        <is>
          <t>Form script kept the pre-19-Oct identity rule</t>
        </is>
      </c>
      <c r="F29" s="35" t="inlineStr">
        <is>
          <t>Form follows the Ministry rule (Iqama mandatory, home-country ID optional)</t>
        </is>
      </c>
      <c r="G29" s="34" t="inlineStr">
        <is>
          <t>HR-63</t>
        </is>
      </c>
      <c r="H29" s="34" t="inlineStr">
        <is>
          <t>Fixed</t>
        </is>
      </c>
      <c r="I29" s="35" t="inlineStr">
        <is>
          <t>E2E EMP-08</t>
        </is>
      </c>
      <c r="J29" s="34" t="inlineStr">
        <is>
          <t>21 Oct 2026</t>
        </is>
      </c>
    </row>
    <row r="30">
      <c r="A30" s="34" t="inlineStr">
        <is>
          <t>B-33</t>
        </is>
      </c>
      <c r="B30" s="34" t="inlineStr">
        <is>
          <t>21 Oct 2026</t>
        </is>
      </c>
      <c r="C30" s="34" t="inlineStr">
        <is>
          <t>Recruitment</t>
        </is>
      </c>
      <c r="D30" s="35" t="inlineStr">
        <is>
          <t>Hired employees opened as 'Not Saved'; special-needs code could reach the Ministry with 'No special needs'</t>
        </is>
      </c>
      <c r="E30" s="35" t="inlineStr">
        <is>
          <t>Values that do not apply copied from the application</t>
        </is>
      </c>
      <c r="F30" s="35" t="inlineStr">
        <is>
          <t>Dropped on save; views guard the special-needs type</t>
        </is>
      </c>
      <c r="G30" s="34" t="inlineStr">
        <is>
          <t>HR-64</t>
        </is>
      </c>
      <c r="H30" s="34" t="inlineStr">
        <is>
          <t>Fixed</t>
        </is>
      </c>
      <c r="I30" s="35" t="inlineStr">
        <is>
          <t>E2E REC-09, REC-06</t>
        </is>
      </c>
      <c r="J30" s="34" t="inlineStr">
        <is>
          <t>21 Oct 2026</t>
        </is>
      </c>
    </row>
    <row r="31">
      <c r="A31" s="34" t="inlineStr">
        <is>
          <t>B-34</t>
        </is>
      </c>
      <c r="B31" s="34" t="inlineStr">
        <is>
          <t>21 Oct 2026</t>
        </is>
      </c>
      <c r="C31" s="34" t="inlineStr">
        <is>
          <t>Jameah</t>
        </is>
      </c>
      <c r="D31" s="35" t="inlineStr">
        <is>
          <t>Ministry GPA differed from the transcript for 1,197 students after the GPA calculation update</t>
        </is>
      </c>
      <c r="E31" s="35" t="inlineStr">
        <is>
          <t>Views kept the old GPA / credit-hour rules</t>
        </is>
      </c>
      <c r="F31" s="35" t="inlineStr">
        <is>
          <t>Use the college's official GPA and credit-hour functions</t>
        </is>
      </c>
      <c r="G31" s="34" t="inlineStr">
        <is>
          <t>JM-18</t>
        </is>
      </c>
      <c r="H31" s="34" t="inlineStr">
        <is>
          <t>Fixed</t>
        </is>
      </c>
      <c r="I31" s="35" t="inlineStr">
        <is>
          <t>verify.run: 15/15 OK</t>
        </is>
      </c>
      <c r="J31" s="34" t="inlineStr">
        <is>
          <t>23 Oct 2026</t>
        </is>
      </c>
    </row>
    <row r="32">
      <c r="A32" s="34" t="inlineStr">
        <is>
          <t>B-35</t>
        </is>
      </c>
      <c r="B32" s="34" t="inlineStr">
        <is>
          <t>21 Oct 2026</t>
        </is>
      </c>
      <c r="C32" s="34" t="inlineStr">
        <is>
          <t>Recruitment</t>
        </is>
      </c>
      <c r="D32" s="35" t="inlineStr">
        <is>
          <t>A new hire could not be saved again: 'Missing Fields' Academic Department, Geographical Work Location</t>
        </is>
      </c>
      <c r="E32" s="35" t="inlineStr">
        <is>
          <t>The Create Employee dialog did not ask for fields the Employee form requires</t>
        </is>
      </c>
      <c r="F32" s="35" t="inlineStr">
        <is>
          <t>Dialog asks for them (pre-filled from the application)</t>
        </is>
      </c>
      <c r="G32" s="34" t="inlineStr">
        <is>
          <t>HR-65</t>
        </is>
      </c>
      <c r="H32" s="34" t="inlineStr">
        <is>
          <t>Fixed</t>
        </is>
      </c>
      <c r="I32" s="35" t="inlineStr">
        <is>
          <t>E2E REC-10</t>
        </is>
      </c>
      <c r="J32" s="34" t="inlineStr">
        <is>
          <t>21 Oct 2026</t>
        </is>
      </c>
    </row>
    <row r="33">
      <c r="A33" s="34" t="inlineStr">
        <is>
          <t>B-36</t>
        </is>
      </c>
      <c r="B33" s="34" t="inlineStr">
        <is>
          <t>22 Oct 2026</t>
        </is>
      </c>
      <c r="C33" s="34" t="inlineStr">
        <is>
          <t>Leave Plan</t>
        </is>
      </c>
      <c r="D33" s="35" t="inlineStr">
        <is>
          <t>Employees could not send a Leave Plan (refused as HR-only), although the approval matrix has the employee sending it</t>
        </is>
      </c>
      <c r="E33" s="35" t="inlineStr">
        <is>
          <t>Leave Plan Request was on the HR-only list</t>
        </is>
      </c>
      <c r="F33" s="35" t="inlineStr">
        <is>
          <t>Employees send it; manager and department head approve; employees cannot set the status</t>
        </is>
      </c>
      <c r="G33" s="34" t="inlineStr">
        <is>
          <t>HR-68</t>
        </is>
      </c>
      <c r="H33" s="34" t="inlineStr">
        <is>
          <t>Fixed</t>
        </is>
      </c>
      <c r="I33" s="35" t="inlineStr">
        <is>
          <t>E2E LV-02, SEC-07</t>
        </is>
      </c>
      <c r="J33" s="34" t="inlineStr">
        <is>
          <t>22 Oct 2026</t>
        </is>
      </c>
    </row>
    <row r="34">
      <c r="A34" s="34" t="inlineStr">
        <is>
          <t>B-37</t>
        </is>
      </c>
      <c r="B34" s="34" t="inlineStr">
        <is>
          <t>22 Oct 2026</t>
        </is>
      </c>
      <c r="C34" s="34" t="inlineStr">
        <is>
          <t>Leave Application</t>
        </is>
      </c>
      <c r="D34" s="35" t="inlineStr">
        <is>
          <t>Employees were offered every leave type, including ones they hold no balance for (Casual, Privilege, Compensatory Off, the sick stages); the request then failed</t>
        </is>
      </c>
      <c r="E34" s="35" t="inlineStr">
        <is>
          <t>The dialog listed all Leave Types</t>
        </is>
      </c>
      <c r="F34" s="35" t="inlineStr">
        <is>
          <t>Only leave the employee holds, with the days left; unpaid last; the server refuses other types</t>
        </is>
      </c>
      <c r="G34" s="34" t="inlineStr">
        <is>
          <t>HR-68</t>
        </is>
      </c>
      <c r="H34" s="34" t="inlineStr">
        <is>
          <t>Fixed</t>
        </is>
      </c>
      <c r="I34" s="35" t="inlineStr">
        <is>
          <t>E2E LV-01; unit test</t>
        </is>
      </c>
      <c r="J34" s="34" t="inlineStr">
        <is>
          <t>22 Oct 2026</t>
        </is>
      </c>
    </row>
    <row r="35">
      <c r="A35" s="34" t="inlineStr">
        <is>
          <t>B-38</t>
        </is>
      </c>
      <c r="B35" s="34" t="inlineStr">
        <is>
          <t>22 Oct 2026</t>
        </is>
      </c>
      <c r="C35" s="34" t="inlineStr">
        <is>
          <t>Sick leave</t>
        </is>
      </c>
      <c r="D35" s="35" t="inlineStr">
        <is>
          <t>Sick-leave stages listed out of pay order (75% before Full Pay) and called 'Medical' in some places, 'Sick' in others</t>
        </is>
      </c>
      <c r="E35" s="35" t="inlineStr">
        <is>
          <t>Names sorted alphabetically</t>
        </is>
      </c>
      <c r="F35" s="35" t="inlineStr">
        <is>
          <t>Renamed Sick Leave 1 - Full Pay / 2 - 75% Pay / 3 - Unpaid (migration patch, balances kept); 'Sick Leave' everywhere</t>
        </is>
      </c>
      <c r="G35" s="34" t="inlineStr">
        <is>
          <t>HR-20, HR-68</t>
        </is>
      </c>
      <c r="H35" s="34" t="inlineStr">
        <is>
          <t>Fixed</t>
        </is>
      </c>
      <c r="I35" s="35" t="inlineStr">
        <is>
          <t>E2E LV-07</t>
        </is>
      </c>
      <c r="J35" s="34" t="inlineStr">
        <is>
          <t>22 Oct 2026</t>
        </is>
      </c>
    </row>
    <row r="36">
      <c r="A36" s="34" t="inlineStr">
        <is>
          <t>B-39</t>
        </is>
      </c>
      <c r="B36" s="34" t="inlineStr">
        <is>
          <t>22 Oct 2026</t>
        </is>
      </c>
      <c r="C36" s="34" t="inlineStr">
        <is>
          <t>Leave Return</t>
        </is>
      </c>
      <c r="D36" s="35" t="inlineStr">
        <is>
          <t>Expected return date was the last day of the leave, so every return looked a day late</t>
        </is>
      </c>
      <c r="E36" s="35" t="inlineStr">
        <is>
          <t>Copied the leave's To Date</t>
        </is>
      </c>
      <c r="F36" s="35" t="inlineStr">
        <is>
          <t>Expected Back On = the day after the leave; days late counted</t>
        </is>
      </c>
      <c r="G36" s="34" t="inlineStr">
        <is>
          <t>HR-68</t>
        </is>
      </c>
      <c r="H36" s="34" t="inlineStr">
        <is>
          <t>Fixed</t>
        </is>
      </c>
      <c r="I36" s="35" t="inlineStr">
        <is>
          <t>E2E LV-04; unit test</t>
        </is>
      </c>
      <c r="J36" s="34" t="inlineStr">
        <is>
          <t>22 Oct 2026</t>
        </is>
      </c>
    </row>
    <row r="37">
      <c r="A37" s="34" t="inlineStr">
        <is>
          <t>B-40</t>
        </is>
      </c>
      <c r="B37" s="34" t="inlineStr">
        <is>
          <t>22 Oct 2026</t>
        </is>
      </c>
      <c r="C37" s="34" t="inlineStr">
        <is>
          <t>Leave Return</t>
        </is>
      </c>
      <c r="D37" s="35" t="inlineStr">
        <is>
          <t>Fitness certificate and occupational health asked after every leave, even annual leave; a return could be sent for leave not yet approved, or twice</t>
        </is>
      </c>
      <c r="E37" s="35" t="inlineStr">
        <is>
          <t>No sick-leave or approval check</t>
        </is>
      </c>
      <c r="F37" s="35" t="inlineStr">
        <is>
          <t>Only after sick leave; own approved leave only; one return per leave</t>
        </is>
      </c>
      <c r="G37" s="34" t="inlineStr">
        <is>
          <t>HR-68</t>
        </is>
      </c>
      <c r="H37" s="34" t="inlineStr">
        <is>
          <t>Fixed</t>
        </is>
      </c>
      <c r="I37" s="35" t="inlineStr">
        <is>
          <t>E2E LV-04/05; unit tests</t>
        </is>
      </c>
      <c r="J37" s="34" t="inlineStr">
        <is>
          <t>22 Oct 2026</t>
        </is>
      </c>
    </row>
    <row r="38">
      <c r="A38" s="34" t="inlineStr">
        <is>
          <t>B-41</t>
        </is>
      </c>
      <c r="B38" s="34" t="inlineStr">
        <is>
          <t>22 Oct 2026</t>
        </is>
      </c>
      <c r="C38" s="34" t="inlineStr">
        <is>
          <t>Testing (QA scripts only)</t>
        </is>
      </c>
      <c r="D38" s="35" t="inlineStr">
        <is>
          <t>Error sweep: the QA HR User got 'Not permitted' on My Settings and My Profile</t>
        </is>
      </c>
      <c r="E38" s="35" t="inlineStr">
        <is>
          <t>The QA reset deletes and re-creates the test users within seconds; Frappe's delayed clean-up job then removed the new user's own share. Real users are not affected (all 3 real HR User logins checked).</t>
        </is>
      </c>
      <c r="F38" s="35" t="inlineStr">
        <is>
          <t>The QA reset runs that clean-up at once</t>
        </is>
      </c>
      <c r="G38" s="34" t="inlineStr">
        <is>
          <t>HR-67</t>
        </is>
      </c>
      <c r="H38" s="34" t="inlineStr">
        <is>
          <t>Fixed</t>
        </is>
      </c>
      <c r="I38" s="35" t="inlineStr">
        <is>
          <t>E2E SWP-02 (re-run 22 Oct)</t>
        </is>
      </c>
      <c r="J38" s="34" t="inlineStr">
        <is>
          <t>22 Oct 2026</t>
        </is>
      </c>
    </row>
    <row r="39">
      <c r="A39" s="34" t="inlineStr">
        <is>
          <t>B-42</t>
        </is>
      </c>
      <c r="B39" s="34" t="inlineStr">
        <is>
          <t>22 Oct 2026</t>
        </is>
      </c>
      <c r="C39" s="34" t="inlineStr">
        <is>
          <t>Recruitment</t>
        </is>
      </c>
      <c r="D39" s="35" t="inlineStr">
        <is>
          <t>After merging the job application update, the academic 'Appreciation' list would have been empty, so academic applicants could not send the form</t>
        </is>
      </c>
      <c r="E39" s="35" t="inlineStr">
        <is>
          <t>The updated page sends only the lookup lists it names; the Ministry grade list (Student Evaluation Coding, fix B-22) was not one of them</t>
        </is>
      </c>
      <c r="F39" s="35" t="inlineStr">
        <is>
          <t>List added</t>
        </is>
      </c>
      <c r="G39" s="34" t="inlineStr">
        <is>
          <t>HR-70</t>
        </is>
      </c>
      <c r="H39" s="34" t="inlineStr">
        <is>
          <t>Fixed</t>
        </is>
      </c>
      <c r="I39" s="35" t="inlineStr">
        <is>
          <t>E2E REC-05</t>
        </is>
      </c>
      <c r="J39" s="34" t="inlineStr">
        <is>
          <t>22 Oct 2026</t>
        </is>
      </c>
    </row>
    <row r="40">
      <c r="A40" s="34" t="inlineStr">
        <is>
          <t>B-44</t>
        </is>
      </c>
      <c r="B40" s="34" t="inlineStr">
        <is>
          <t>22 Oct 2026</t>
        </is>
      </c>
      <c r="C40" s="34" t="inlineStr">
        <is>
          <t>Recruitment</t>
        </is>
      </c>
      <c r="D40" s="35" t="inlineStr">
        <is>
          <t>After the merge, a work telephone extension such as 321 was refused as 'not a valid phone number'</t>
        </is>
      </c>
      <c r="E40" s="35" t="inlineStr">
        <is>
          <t>Our 20 Oct change made the extension a phone-type input; the updated form checks every phone-type input as a full number (7-15 digits)</t>
        </is>
      </c>
      <c r="F40" s="35" t="inlineStr">
        <is>
          <t>Extension is a numbers-only field (up to 6 digits) with its own check</t>
        </is>
      </c>
      <c r="G40" s="34" t="inlineStr">
        <is>
          <t>HR-70</t>
        </is>
      </c>
      <c r="H40" s="34" t="inlineStr">
        <is>
          <t>Fixed</t>
        </is>
      </c>
      <c r="I40" s="35" t="inlineStr">
        <is>
          <t>E2E REC-03/04/05</t>
        </is>
      </c>
      <c r="J40" s="34" t="inlineStr">
        <is>
          <t>22 Oct 2026</t>
        </is>
      </c>
    </row>
    <row r="41">
      <c r="A41" s="34" t="inlineStr">
        <is>
          <t>B-43</t>
        </is>
      </c>
      <c r="B41" s="34" t="inlineStr">
        <is>
          <t>22 Oct 2026</t>
        </is>
      </c>
      <c r="C41" s="34" t="inlineStr">
        <is>
          <t>Deployment / Jameah</t>
        </is>
      </c>
      <c r="D41" s="35" t="inlineStr">
        <is>
          <t>A migrate stopped with 'Lock wait timeout exceeded' at its last step</t>
        </is>
      </c>
      <c r="E41" s="35" t="inlineStr">
        <is>
          <t>It rebuilt the Jameah academic summary while the hourly job was rebuilding the same table; it waited for the table lock until the database gave up</t>
        </is>
      </c>
      <c r="F41" s="35" t="inlineStr">
        <is>
          <t>One rebuild at a time: a second one is skipped at once (database lock)</t>
        </is>
      </c>
      <c r="G41" s="34" t="inlineStr">
        <is>
          <t>JM-05</t>
        </is>
      </c>
      <c r="H41" s="34" t="inlineStr">
        <is>
          <t>Fixed</t>
        </is>
      </c>
      <c r="I41" s="35" t="inlineStr">
        <is>
          <t>Unit test TestJameahSummaryRefresh; migrate re-run 22 Oct</t>
        </is>
      </c>
      <c r="J41" s="34" t="inlineStr">
        <is>
          <t>22 Oct 2026</t>
        </is>
      </c>
    </row>
    <row r="42">
      <c r="A42" s="34" t="inlineStr">
        <is>
          <t>B-45</t>
        </is>
      </c>
      <c r="B42" s="34" t="inlineStr">
        <is>
          <t>23 Oct 2026</t>
        </is>
      </c>
      <c r="C42" s="34" t="inlineStr">
        <is>
          <t>Repository</t>
        </is>
      </c>
      <c r="D42" s="35" t="inlineStr">
        <is>
          <t>Stray files: a duplicate script with a space in its name (setup_jameah_fields copy.py) and a Windows download-marker file (...Copy.html:Zone.Identifier)</t>
        </is>
      </c>
      <c r="E42" s="35" t="inlineStr">
        <is>
          <t>Copied by hand / downloaded from Windows</t>
        </is>
      </c>
      <c r="F42" s="35" t="inlineStr">
        <is>
          <t>Removed</t>
        </is>
      </c>
      <c r="G42" s="34" t="inlineStr">
        <is>
          <t>HR-72</t>
        </is>
      </c>
      <c r="H42" s="34" t="inlineStr">
        <is>
          <t>Fixed</t>
        </is>
      </c>
      <c r="I42" s="35" t="inlineStr">
        <is>
          <t>tests/checks/files.py</t>
        </is>
      </c>
      <c r="J42" s="34" t="inlineStr">
        <is>
          <t>23 Oct 2026</t>
        </is>
      </c>
    </row>
    <row r="43">
      <c r="A43" s="34" t="inlineStr">
        <is>
          <t>B-46</t>
        </is>
      </c>
      <c r="B43" s="34" t="inlineStr">
        <is>
          <t>23 Oct 2026</t>
        </is>
      </c>
      <c r="C43" s="34" t="inlineStr">
        <is>
          <t>Documentation</t>
        </is>
      </c>
      <c r="D43" s="35" t="inlineStr">
        <is>
          <t>README told admins to run old setup scripts by hand; one of them (configure_hrm_request_governance) replaces the request doctypes' tested permissions with its own</t>
        </is>
      </c>
      <c r="E43" s="35" t="inlineStr">
        <is>
          <t>README from June, never updated after the setup moved into migrate</t>
        </is>
      </c>
      <c r="F43" s="35" t="inlineStr">
        <is>
          <t>README rewritten: migrate does the setup; those scripts are not to be run; team workflow; documents index</t>
        </is>
      </c>
      <c r="G43" s="34" t="inlineStr">
        <is>
          <t>HR-72</t>
        </is>
      </c>
      <c r="H43" s="34" t="inlineStr">
        <is>
          <t>Fixed</t>
        </is>
      </c>
      <c r="I43" s="35" t="inlineStr">
        <is>
          <t>Review</t>
        </is>
      </c>
      <c r="J43" s="34" t="inlineStr">
        <is>
          <t>23 Oct 2026</t>
        </is>
      </c>
    </row>
    <row r="44">
      <c r="A44" s="34" t="inlineStr">
        <is>
          <t>B-47</t>
        </is>
      </c>
      <c r="B44" s="34" t="inlineStr">
        <is>
          <t>23 Oct 2026</t>
        </is>
      </c>
      <c r="C44" s="34" t="inlineStr">
        <is>
          <t>Documentation</t>
        </is>
      </c>
      <c r="D44" s="35" t="inlineStr">
        <is>
          <t>Developer guide described an 'LMS Instructor' field on Employee that does not exist, and the old sick-leave names</t>
        </is>
      </c>
      <c r="E44" s="35" t="inlineStr">
        <is>
          <t>Guide from May</t>
        </is>
      </c>
      <c r="F44" s="35" t="inlineStr">
        <is>
          <t>Corrected (Instructor links to Employee; Sick Leave 1/2/3; Start Sick Leave Year)</t>
        </is>
      </c>
      <c r="G44" s="34" t="inlineStr">
        <is>
          <t>HR-72</t>
        </is>
      </c>
      <c r="H44" s="34" t="inlineStr">
        <is>
          <t>Fixed</t>
        </is>
      </c>
      <c r="I44" s="35" t="inlineStr">
        <is>
          <t>Review</t>
        </is>
      </c>
      <c r="J44" s="34" t="inlineStr">
        <is>
          <t>23 Oct 2026</t>
        </is>
      </c>
    </row>
    <row r="45">
      <c r="A45" s="34" t="inlineStr">
        <is>
          <t>B-48</t>
        </is>
      </c>
      <c r="B45" s="34" t="inlineStr">
        <is>
          <t>23 Oct 2026</t>
        </is>
      </c>
      <c r="C45" s="34" t="inlineStr">
        <is>
          <t>Testing (QA scripts only)</t>
        </is>
      </c>
      <c r="D45" s="35" t="inlineStr">
        <is>
          <t>QA setup failed now and then with 'TimestampMismatchError' on a user's Contact</t>
        </is>
      </c>
      <c r="E45" s="35" t="inlineStr">
        <is>
          <t>Jobs queued by the QA clean-up (linked Contacts, shares) ran a few seconds later, while the setup was creating the same users again</t>
        </is>
      </c>
      <c r="F45" s="35" t="inlineStr">
        <is>
          <t>The clean-up runs all its follow-up jobs at once</t>
        </is>
      </c>
      <c r="G45" s="34" t="inlineStr">
        <is>
          <t>HR-67</t>
        </is>
      </c>
      <c r="H45" s="34" t="inlineStr">
        <is>
          <t>Fixed</t>
        </is>
      </c>
      <c r="I45" s="35" t="inlineStr">
        <is>
          <t>3 clean-up + setup cycles in a row</t>
        </is>
      </c>
      <c r="J45" s="34" t="inlineStr">
        <is>
          <t>23 Oct 2026</t>
        </is>
      </c>
    </row>
    <row r="46">
      <c r="A46" s="34" t="inlineStr">
        <is>
          <t>B-49</t>
        </is>
      </c>
      <c r="B46" s="34" t="inlineStr">
        <is>
          <t>23 Oct 2026</t>
        </is>
      </c>
      <c r="C46" s="34" t="inlineStr">
        <is>
          <t>Testing</t>
        </is>
      </c>
      <c r="D46" s="35" t="inlineStr">
        <is>
          <t>Unit test of the Jameah refresh lock failed while a real hourly refresh was running</t>
        </is>
      </c>
      <c r="E46" s="35" t="inlineStr">
        <is>
          <t>The test assumed no refresh holds the lock</t>
        </is>
      </c>
      <c r="F46" s="35" t="inlineStr">
        <is>
          <t>Skips while a real refresh runs (the lock working as intended)</t>
        </is>
      </c>
      <c r="G46" s="34" t="inlineStr">
        <is>
          <t>B-43</t>
        </is>
      </c>
      <c r="H46" s="34" t="inlineStr">
        <is>
          <t>Fixed</t>
        </is>
      </c>
      <c r="I46" s="35" t="inlineStr">
        <is>
          <t>Unit tests</t>
        </is>
      </c>
      <c r="J46" s="34" t="inlineStr">
        <is>
          <t>23 Oct 2026</t>
        </is>
      </c>
    </row>
    <row r="47">
      <c r="A47" s="34" t="inlineStr">
        <is>
          <t>B-50</t>
        </is>
      </c>
      <c r="B47" s="34" t="inlineStr">
        <is>
          <t>23 Oct 2026</t>
        </is>
      </c>
      <c r="C47" s="34" t="inlineStr">
        <is>
          <t>Ministry codes</t>
        </is>
      </c>
      <c r="D47" s="35" t="inlineStr">
        <is>
          <t>The Ministry code search refused a category sent as JSON text by a direct API call</t>
        </is>
      </c>
      <c r="E47" s="35" t="inlineStr">
        <is>
          <t>It only accepted a dictionary (what the form search sends)</t>
        </is>
      </c>
      <c r="F47" s="35" t="inlineStr">
        <is>
          <t>Accepts both</t>
        </is>
      </c>
      <c r="G47" s="34" t="inlineStr">
        <is>
          <t>HR-72</t>
        </is>
      </c>
      <c r="H47" s="34" t="inlineStr">
        <is>
          <t>Fixed</t>
        </is>
      </c>
      <c r="I47" s="35" t="inlineStr">
        <is>
          <t>tests/checks/api_methods.py</t>
        </is>
      </c>
      <c r="J47" s="34" t="inlineStr">
        <is>
          <t>23 Oct 2026</t>
        </is>
      </c>
    </row>
    <row r="48">
      <c r="A48" s="34" t="inlineStr">
        <is>
          <t>B-51</t>
        </is>
      </c>
      <c r="B48" s="34" t="inlineStr">
        <is>
          <t>23 Oct 2026</t>
        </is>
      </c>
      <c r="C48" s="34" t="inlineStr">
        <is>
          <t>Testing</t>
        </is>
      </c>
      <c r="D48" s="35" t="inlineStr">
        <is>
          <t>The error sweep did not open 4 Jameah doctypes, saved records, the report, or employees' own request lists</t>
        </is>
      </c>
      <c r="E48" s="35" t="inlineStr">
        <is>
          <t>Route list written before those existed</t>
        </is>
      </c>
      <c r="F48" s="35" t="inlineStr">
        <is>
          <t>Sweep covers every Medical HRMS doctype (list, new, newest record), the report, both workspaces and employees' lists</t>
        </is>
      </c>
      <c r="G48" s="34" t="inlineStr">
        <is>
          <t>HR-72</t>
        </is>
      </c>
      <c r="H48" s="34" t="inlineStr">
        <is>
          <t>Fixed</t>
        </is>
      </c>
      <c r="I48" s="35" t="inlineStr">
        <is>
          <t>E2E SWP-01 - SWP-03</t>
        </is>
      </c>
      <c r="J48" s="34" t="inlineStr">
        <is>
          <t>23 Oct 2026</t>
        </is>
      </c>
    </row>
    <row r="49">
      <c r="A49" s="34" t="inlineStr">
        <is>
          <t>B-52</t>
        </is>
      </c>
      <c r="B49" s="34" t="inlineStr">
        <is>
          <t>23 Oct 2026</t>
        </is>
      </c>
      <c r="C49" s="34" t="inlineStr">
        <is>
          <t>Project tracking</t>
        </is>
      </c>
      <c r="D49" s="35" t="inlineStr">
        <is>
          <t>Test Cases workbook showed '—' as the last automated run of the three new check scripts (TC-ERR-08, TC-ERR-09, TC-SEC-10) although they passed</t>
        </is>
      </c>
      <c r="E49" s="35" t="inlineStr">
        <is>
          <t>The workbook only read browser-test results</t>
        </is>
      </c>
      <c r="F49" s="35" t="inlineStr">
        <is>
          <t>Each check records its result (tests/checks/record.py); the builder shows it</t>
        </is>
      </c>
      <c r="G49" s="34" t="inlineStr">
        <is>
          <t>HR-72</t>
        </is>
      </c>
      <c r="H49" s="34" t="inlineStr">
        <is>
          <t>Fixed</t>
        </is>
      </c>
      <c r="I49" s="35" t="inlineStr">
        <is>
          <t>Test Cases workbook</t>
        </is>
      </c>
      <c r="J49" s="34" t="inlineStr">
        <is>
          <t>23 Oct 2026</t>
        </is>
      </c>
    </row>
    <row r="50">
      <c r="A50" s="34" t="inlineStr">
        <is>
          <t>B-53</t>
        </is>
      </c>
      <c r="B50" s="34" t="inlineStr">
        <is>
          <t>23 Oct 2026</t>
        </is>
      </c>
      <c r="C50" s="34" t="inlineStr">
        <is>
          <t>Testing</t>
        </is>
      </c>
      <c r="D50" s="35" t="inlineStr">
        <is>
          <t>tests/checks/site.py used traceback without importing it (would have crashed when reporting an unexpected error)</t>
        </is>
      </c>
      <c r="E50" s="35" t="inlineStr">
        <is>
          <t>Lost when two check scripts were combined</t>
        </is>
      </c>
      <c r="F50" s="35" t="inlineStr">
        <is>
          <t>Import added</t>
        </is>
      </c>
      <c r="G50" s="34" t="inlineStr">
        <is>
          <t>HR-72</t>
        </is>
      </c>
      <c r="H50" s="34" t="inlineStr">
        <is>
          <t>Fixed</t>
        </is>
      </c>
      <c r="I50" s="35" t="inlineStr">
        <is>
          <t>Found by tests/checks/files.py</t>
        </is>
      </c>
      <c r="J50" s="34" t="inlineStr">
        <is>
          <t>23 Oct 2026</t>
        </is>
      </c>
    </row>
    <row r="51">
      <c r="A51" s="34" t="inlineStr">
        <is>
          <t>B-54</t>
        </is>
      </c>
      <c r="B51" s="34" t="inlineStr">
        <is>
          <t>23 Oct 2026</t>
        </is>
      </c>
      <c r="C51" s="34" t="inlineStr">
        <is>
          <t>Remote Work Request</t>
        </is>
      </c>
      <c r="D51" s="35" t="inlineStr">
        <is>
          <t>Duration (Days) always showed 0</t>
        </is>
      </c>
      <c r="E51" s="35" t="inlineStr">
        <is>
          <t>Read-only field that nothing calculated</t>
        </is>
      </c>
      <c r="F51" s="35" t="inlineStr">
        <is>
          <t>Counted on save: working days as the monthly work-from-home limit counts them (calendar days when HR has no holiday list for the dates); a patch fills in the requests already saved</t>
        </is>
      </c>
      <c r="G51" s="34" t="inlineStr">
        <is>
          <t>HR-74</t>
        </is>
      </c>
      <c r="H51" s="34" t="inlineStr">
        <is>
          <t>Fixed</t>
        </is>
      </c>
      <c r="I51" s="35" t="inlineStr">
        <is>
          <t>Unit tests; E2E ESS-06</t>
        </is>
      </c>
      <c r="J51" s="34" t="inlineStr">
        <is>
          <t>23 Oct 2026</t>
        </is>
      </c>
    </row>
    <row r="52">
      <c r="A52" s="34" t="inlineStr">
        <is>
          <t>B-55</t>
        </is>
      </c>
      <c r="B52" s="34" t="inlineStr">
        <is>
          <t>23 Oct 2026</t>
        </is>
      </c>
      <c r="C52" s="34" t="inlineStr">
        <is>
          <t>Permission Request</t>
        </is>
      </c>
      <c r="D52" s="35" t="inlineStr">
        <is>
          <t>Duration (Hours) always showed 0, and a To Time before the From Time was accepted</t>
        </is>
      </c>
      <c r="E52" s="35" t="inlineStr">
        <is>
          <t>Read-only field that nothing calculated; no time check</t>
        </is>
      </c>
      <c r="F52" s="35" t="inlineStr">
        <is>
          <t>Hours counted on save; To Time must be after From Time; a patch fills in the requests already saved</t>
        </is>
      </c>
      <c r="G52" s="34" t="inlineStr">
        <is>
          <t>HR-74</t>
        </is>
      </c>
      <c r="H52" s="34" t="inlineStr">
        <is>
          <t>Fixed</t>
        </is>
      </c>
      <c r="I52" s="35" t="inlineStr">
        <is>
          <t>Unit tests; E2E ESS-04</t>
        </is>
      </c>
      <c r="J52" s="34" t="inlineStr">
        <is>
          <t>23 Oct 2026</t>
        </is>
      </c>
    </row>
    <row r="53">
      <c r="A53" s="34" t="inlineStr">
        <is>
          <t>B-28</t>
        </is>
      </c>
      <c r="B53" s="34" t="inlineStr">
        <is>
          <t>21 Oct 2026</t>
        </is>
      </c>
      <c r="C53" s="34" t="inlineStr">
        <is>
          <t>Navigation</t>
        </is>
      </c>
      <c r="D53" s="35" t="inlineStr">
        <is>
          <t>Employees clicking the 'Medical HRMS' breadcrumb got 'Not permitted - No permission for Page'</t>
        </is>
      </c>
      <c r="E53" s="35" t="inlineStr">
        <is>
          <t>Frappe chooses the breadcrumb workspace without a permission check</t>
        </is>
      </c>
      <c r="F53" s="35" t="inlineStr">
        <is>
          <t>Keep only workspaces the user can open</t>
        </is>
      </c>
      <c r="G53" s="34" t="inlineStr">
        <is>
          <t>HR-59</t>
        </is>
      </c>
      <c r="H53" s="34" t="inlineStr">
        <is>
          <t>Fixed</t>
        </is>
      </c>
      <c r="I53" s="35" t="inlineStr">
        <is>
          <t>E2E NAV-01/02</t>
        </is>
      </c>
      <c r="J53" s="34" t="inlineStr">
        <is>
          <t>21 Oct 2026</t>
        </is>
      </c>
    </row>
    <row r="54">
      <c r="A54" s="34" t="inlineStr">
        <is>
          <t>B-25</t>
        </is>
      </c>
      <c r="B54" s="34" t="inlineStr">
        <is>
          <t>21 Oct 2026</t>
        </is>
      </c>
      <c r="C54" s="34" t="inlineStr">
        <is>
          <t>E-mail</t>
        </is>
      </c>
      <c r="D54" s="35" t="inlineStr">
        <is>
          <t>System e-mails fail: password cannot be decrypted</t>
        </is>
      </c>
      <c r="E54" s="35" t="inlineStr">
        <is>
          <t>Email Account 'Notifications' password encrypted with another key</t>
        </is>
      </c>
      <c r="F54" s="35" t="inlineStr">
        <is>
          <t>Re-enter the password on the server</t>
        </is>
      </c>
      <c r="G54" s="34" t="inlineStr">
        <is>
          <t>HR-47</t>
        </is>
      </c>
      <c r="H54" s="34" t="inlineStr">
        <is>
          <t>Open</t>
        </is>
      </c>
      <c r="I54" s="35" t="inlineStr">
        <is>
          <t>Error Log</t>
        </is>
      </c>
      <c r="J54" s="34" t="inlineStr">
        <is>
          <t>21 Oct 2026</t>
        </is>
      </c>
    </row>
    <row r="55">
      <c r="A55" s="34" t="inlineStr">
        <is>
          <t>B-26</t>
        </is>
      </c>
      <c r="B55" s="34" t="inlineStr">
        <is>
          <t>21 Oct 2026</t>
        </is>
      </c>
      <c r="C55" s="34" t="inlineStr">
        <is>
          <t>Instructor form</t>
        </is>
      </c>
      <c r="D55" s="35" t="inlineStr">
        <is>
          <t>Linking an Employee in the Instructor form fails</t>
        </is>
      </c>
      <c r="E55" s="35" t="inlineStr">
        <is>
          <t>The form copies Ministry codes into lists that expect other values</t>
        </is>
      </c>
      <c r="F55" s="35" t="inlineStr">
        <is>
          <t>Fix from Medical HRMS (HR-48)</t>
        </is>
      </c>
      <c r="G55" s="34" t="inlineStr">
        <is>
          <t>HR-48</t>
        </is>
      </c>
      <c r="H55" s="34" t="inlineStr">
        <is>
          <t>Open</t>
        </is>
      </c>
      <c r="I55" s="35" t="inlineStr">
        <is>
          <t>Reproduced 21 Oct</t>
        </is>
      </c>
      <c r="J55" s="34" t="inlineStr">
        <is>
          <t>23 Oct 2026</t>
        </is>
      </c>
    </row>
    <row r="56">
      <c r="A56" s="34" t="inlineStr">
        <is>
          <t>B-27</t>
        </is>
      </c>
      <c r="B56" s="34" t="inlineStr">
        <is>
          <t>21 Oct 2026</t>
        </is>
      </c>
      <c r="C56" s="34" t="inlineStr">
        <is>
          <t>Website</t>
        </is>
      </c>
      <c r="D56" s="35" t="inlineStr">
        <is>
          <t>Logo file missing (/files/rchs-logo.png)</t>
        </is>
      </c>
      <c r="E56" s="35" t="inlineStr">
        <is>
          <t>File not on this copy</t>
        </is>
      </c>
      <c r="F56" s="35" t="inlineStr">
        <is>
          <t>Check on the live server</t>
        </is>
      </c>
      <c r="G56" s="34" t="inlineStr">
        <is>
          <t>HR-54</t>
        </is>
      </c>
      <c r="H56" s="34" t="inlineStr">
        <is>
          <t>Open – check server</t>
        </is>
      </c>
      <c r="I56" s="35" t="inlineStr">
        <is>
          <t>Error sweep</t>
        </is>
      </c>
      <c r="J56" s="34" t="inlineStr">
        <is>
          <t>21 Oct 2026</t>
        </is>
      </c>
    </row>
  </sheetData>
  <autoFilter ref="A1:J56"/>
  <conditionalFormatting sqref="H2:H156">
    <cfRule type="expression" priority="1" dxfId="0" stopIfTrue="1">
      <formula>$H2="Fixed"</formula>
    </cfRule>
    <cfRule type="expression" priority="2" dxfId="12" stopIfTrue="1">
      <formula>$H2="Open"</formula>
    </cfRule>
    <cfRule type="expression" priority="3" dxfId="6" stopIfTrue="1">
      <formula>$H2="Open – other team"</formula>
    </cfRule>
    <cfRule type="expression" priority="4" dxfId="4" stopIfTrue="1">
      <formula>$H2="Open – check server"</formula>
    </cfRule>
  </conditionalFormatting>
  <dataValidations count="1">
    <dataValidation sqref="H2:H156" showDropDown="0" showInputMessage="0" showErrorMessage="0" allowBlank="1" type="list">
      <formula1>"Fixed,Open,Open – other team,Open – check server"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52" customWidth="1" min="2" max="2"/>
    <col width="22" customWidth="1" min="3" max="3"/>
    <col width="46" customWidth="1" min="4" max="4"/>
    <col width="18" customWidth="1" min="5" max="5"/>
    <col width="34" customWidth="1" min="6" max="6"/>
    <col width="13" customWidth="1" min="7" max="7"/>
    <col width="13" customWidth="1" min="8" max="8"/>
  </cols>
  <sheetData>
    <row r="1" ht="30" customHeight="1">
      <c r="A1" s="21" t="inlineStr">
        <is>
          <t>ID</t>
        </is>
      </c>
      <c r="B1" s="21" t="inlineStr">
        <is>
          <t>Decision needed</t>
        </is>
      </c>
      <c r="C1" s="21" t="inlineStr">
        <is>
          <t>Who decides</t>
        </is>
      </c>
      <c r="D1" s="21" t="inlineStr">
        <is>
          <t>Options / recommendation</t>
        </is>
      </c>
      <c r="E1" s="21" t="inlineStr">
        <is>
          <t>Blocks tasks</t>
        </is>
      </c>
      <c r="F1" s="21" t="inlineStr">
        <is>
          <t>Answer (fill in)</t>
        </is>
      </c>
      <c r="G1" s="21" t="inlineStr">
        <is>
          <t>Answered on</t>
        </is>
      </c>
      <c r="H1" s="21" t="inlineStr">
        <is>
          <t>Last updated</t>
        </is>
      </c>
    </row>
    <row r="2">
      <c r="A2" s="34" t="inlineStr">
        <is>
          <t>DEC-01</t>
        </is>
      </c>
      <c r="B2" s="35" t="inlineStr">
        <is>
          <t>Which view and column names does the Jameah agent read: the HTML names or the Ministry schema V0.1 names? (The HTML also spells Faculty columns 'EnglishFourhtName' and 'Summury'; the views follow it exactly.)</t>
        </is>
      </c>
      <c r="C2" s="34" t="inlineStr">
        <is>
          <t>Ministry contact (Ms. Najah)</t>
        </is>
      </c>
      <c r="D2" s="35" t="inlineStr">
        <is>
          <t>Confirm with the Ministry; renaming is a small change.</t>
        </is>
      </c>
      <c r="E2" s="34" t="inlineStr">
        <is>
          <t>JM-09, go-live of Jameah</t>
        </is>
      </c>
      <c r="F2" s="36" t="inlineStr"/>
      <c r="G2" s="37" t="inlineStr"/>
      <c r="H2" s="34" t="inlineStr">
        <is>
          <t>21 Oct 2026</t>
        </is>
      </c>
    </row>
    <row r="3">
      <c r="A3" s="34" t="inlineStr">
        <is>
          <t>DEC-02</t>
        </is>
      </c>
      <c r="B3" s="35" t="inlineStr">
        <is>
          <t>College code the Ministry assigned to RCHS (College Coding Guide)</t>
        </is>
      </c>
      <c r="C3" s="34" t="inlineStr">
        <is>
          <t>Academic Affairs</t>
        </is>
      </c>
      <c r="D3" s="35" t="inlineStr">
        <is>
          <t>From the Ministry licence; pick in Jameah Settings.</t>
        </is>
      </c>
      <c r="E3" s="34" t="inlineStr">
        <is>
          <t>JM-10</t>
        </is>
      </c>
      <c r="F3" s="36" t="inlineStr"/>
      <c r="G3" s="37" t="inlineStr"/>
      <c r="H3" s="34" t="inlineStr">
        <is>
          <t>21 Oct 2026</t>
        </is>
      </c>
    </row>
    <row r="4">
      <c r="A4" s="34" t="inlineStr">
        <is>
          <t>DEC-03</t>
        </is>
      </c>
      <c r="B4" s="35" t="inlineStr">
        <is>
          <t>Study type for regular and for bridging students</t>
        </is>
      </c>
      <c r="C4" s="34" t="inlineStr">
        <is>
          <t>Academic Affairs</t>
        </is>
      </c>
      <c r="D4" s="35" t="inlineStr">
        <is>
          <t>List includes 0 Total regularity, 7 Bridging.</t>
        </is>
      </c>
      <c r="E4" s="34" t="inlineStr">
        <is>
          <t>JM-10</t>
        </is>
      </c>
      <c r="F4" s="36" t="inlineStr"/>
      <c r="G4" s="37" t="inlineStr"/>
      <c r="H4" s="34" t="inlineStr">
        <is>
          <t>21 Oct 2026</t>
        </is>
      </c>
    </row>
    <row r="5">
      <c r="A5" s="34" t="inlineStr">
        <is>
          <t>DEC-04</t>
        </is>
      </c>
      <c r="B5" s="35" t="inlineStr">
        <is>
          <t>Program duration and unit</t>
        </is>
      </c>
      <c r="C5" s="34" t="inlineStr">
        <is>
          <t>Academic Affairs</t>
        </is>
      </c>
      <c r="D5" s="35" t="inlineStr">
        <is>
          <t>From the study plan.</t>
        </is>
      </c>
      <c r="E5" s="34" t="inlineStr">
        <is>
          <t>JM-10</t>
        </is>
      </c>
      <c r="F5" s="36" t="inlineStr"/>
      <c r="G5" s="37" t="inlineStr"/>
      <c r="H5" s="34" t="inlineStr">
        <is>
          <t>21 Oct 2026</t>
        </is>
      </c>
    </row>
    <row r="6">
      <c r="A6" s="34" t="inlineStr">
        <is>
          <t>DEC-05</t>
        </is>
      </c>
      <c r="B6" s="35" t="inlineStr">
        <is>
          <t>Campus city (Study Location City)</t>
        </is>
      </c>
      <c r="C6" s="34" t="inlineStr">
        <is>
          <t>Academic Affairs</t>
        </is>
      </c>
      <c r="D6" s="35" t="inlineStr">
        <is>
          <t>Ministry city code, e.g. 0202000 Jeddah Governorate if applicable.</t>
        </is>
      </c>
      <c r="E6" s="34" t="inlineStr">
        <is>
          <t>JM-10</t>
        </is>
      </c>
      <c r="F6" s="36" t="inlineStr"/>
      <c r="G6" s="37" t="inlineStr"/>
      <c r="H6" s="34" t="inlineStr">
        <is>
          <t>21 Oct 2026</t>
        </is>
      </c>
    </row>
    <row r="7">
      <c r="A7" s="34" t="inlineStr">
        <is>
          <t>DEC-06</t>
        </is>
      </c>
      <c r="B7" s="35" t="inlineStr">
        <is>
          <t>Ministry department and specialization for the nursing program</t>
        </is>
      </c>
      <c r="C7" s="34" t="inlineStr">
        <is>
          <t>Academic Affairs</t>
        </is>
      </c>
      <c r="D7" s="35" t="inlineStr">
        <is>
          <t>Candidates KL01 Nursing Sciences / KL03 Nursing.</t>
        </is>
      </c>
      <c r="E7" s="34" t="inlineStr">
        <is>
          <t>JM-11</t>
        </is>
      </c>
      <c r="F7" s="36" t="inlineStr"/>
      <c r="G7" s="37" t="inlineStr"/>
      <c r="H7" s="34" t="inlineStr">
        <is>
          <t>21 Oct 2026</t>
        </is>
      </c>
    </row>
    <row r="8">
      <c r="A8" s="34" t="inlineStr">
        <is>
          <t>DEC-07</t>
        </is>
      </c>
      <c r="B8" s="35" t="inlineStr">
        <is>
          <t>Ministry status for 'Internship' students (238)</t>
        </is>
      </c>
      <c r="C8" s="34" t="inlineStr">
        <is>
          <t>Academic Affairs</t>
        </is>
      </c>
      <c r="D8" s="35" t="inlineStr">
        <is>
          <t>Most likely 0 'restricted (enrolled)'.</t>
        </is>
      </c>
      <c r="E8" s="34" t="inlineStr">
        <is>
          <t>JM-11</t>
        </is>
      </c>
      <c r="F8" s="36" t="inlineStr"/>
      <c r="G8" s="37" t="inlineStr"/>
      <c r="H8" s="34" t="inlineStr">
        <is>
          <t>21 Oct 2026</t>
        </is>
      </c>
    </row>
    <row r="9">
      <c r="A9" s="34" t="inlineStr">
        <is>
          <t>DEC-08</t>
        </is>
      </c>
      <c r="B9" s="35" t="inlineStr">
        <is>
          <t>Accept 9-digit identity numbers?</t>
        </is>
      </c>
      <c r="C9" s="34" t="inlineStr">
        <is>
          <t>HR + Ministry contact</t>
        </is>
      </c>
      <c r="D9" s="35" t="inlineStr">
        <is>
          <t>Today exactly 10 digits for National ID / Iqama.</t>
        </is>
      </c>
      <c r="E9" s="34" t="inlineStr">
        <is>
          <t>HR-52</t>
        </is>
      </c>
      <c r="F9" s="36" t="inlineStr"/>
      <c r="G9" s="37" t="inlineStr"/>
      <c r="H9" s="34" t="inlineStr">
        <is>
          <t>21 Oct 2026</t>
        </is>
      </c>
    </row>
    <row r="10">
      <c r="A10" s="34" t="inlineStr">
        <is>
          <t>DEC-09</t>
        </is>
      </c>
      <c r="B10" s="35" t="inlineStr">
        <is>
          <t>Approver for each request step and the currency label (SAR)</t>
        </is>
      </c>
      <c r="C10" s="34" t="inlineStr">
        <is>
          <t>HR + Finance</t>
        </is>
      </c>
      <c r="D10" s="35" t="inlineStr">
        <is>
          <t>Update HRM_APPROVAL_MATRIX.md.</t>
        </is>
      </c>
      <c r="E10" s="34" t="inlineStr">
        <is>
          <t>HR-24</t>
        </is>
      </c>
      <c r="F10" s="36" t="inlineStr"/>
      <c r="G10" s="37" t="inlineStr"/>
      <c r="H10" s="34" t="inlineStr">
        <is>
          <t>21 Oct 2026</t>
        </is>
      </c>
    </row>
    <row r="11">
      <c r="A11" s="34" t="inlineStr">
        <is>
          <t>DEC-10</t>
        </is>
      </c>
      <c r="B11" s="35" t="inlineStr">
        <is>
          <t>Official holidays and carry-forward rules</t>
        </is>
      </c>
      <c r="C11" s="34" t="inlineStr">
        <is>
          <t>HR</t>
        </is>
      </c>
      <c r="D11" s="35" t="inlineStr">
        <is>
          <t>Needed for leave and presence.</t>
        </is>
      </c>
      <c r="E11" s="34" t="inlineStr">
        <is>
          <t>HR-23, HR-57</t>
        </is>
      </c>
      <c r="F11" s="36" t="inlineStr"/>
      <c r="G11" s="37" t="inlineStr"/>
      <c r="H11" s="34" t="inlineStr">
        <is>
          <t>21 Oct 2026</t>
        </is>
      </c>
    </row>
    <row r="12">
      <c r="A12" s="34" t="inlineStr">
        <is>
          <t>DEC-11</t>
        </is>
      </c>
      <c r="B12" s="35" t="inlineStr">
        <is>
          <t>Ministry credit hours: Registered = hours registered this term; Passed = earned + bridged plan hours (so Passed + Remaining = Required, as on the student dashboard). The transcript also shows a lifetime 'registered' total and bridging calc-hours.</t>
        </is>
      </c>
      <c r="C12" s="34" t="inlineStr">
        <is>
          <t>Academic Affairs</t>
        </is>
      </c>
      <c r="D12" s="35" t="inlineStr">
        <is>
          <t>Recommended as built; confirm with the Ministry definitions.</t>
        </is>
      </c>
      <c r="E12" s="34" t="inlineStr">
        <is>
          <t>JM-18</t>
        </is>
      </c>
      <c r="F12" s="36" t="inlineStr"/>
      <c r="G12" s="37" t="inlineStr"/>
      <c r="H12" s="34" t="inlineStr">
        <is>
          <t>21 Oct 2026</t>
        </is>
      </c>
    </row>
    <row r="13">
      <c r="A13" s="34" t="inlineStr">
        <is>
          <t>DEC-12</t>
        </is>
      </c>
      <c r="B13" s="35" t="inlineStr">
        <is>
          <t>Faculty sent to the Ministry: active Instructors only (as built), or also those marked Left?</t>
        </is>
      </c>
      <c r="C13" s="34" t="inlineStr">
        <is>
          <t>Academic Affairs</t>
        </is>
      </c>
      <c r="D13" s="35" t="inlineStr">
        <is>
          <t>Recommended: active only; former faculty would need end dates.</t>
        </is>
      </c>
      <c r="E13" s="34" t="inlineStr">
        <is>
          <t>JM-14</t>
        </is>
      </c>
      <c r="F13" s="36" t="inlineStr"/>
      <c r="G13" s="37" t="inlineStr"/>
      <c r="H13" s="34" t="inlineStr">
        <is>
          <t>21 Oct 2026</t>
        </is>
      </c>
    </row>
    <row r="14">
      <c r="A14" s="34" t="inlineStr">
        <is>
          <t>DEC-13</t>
        </is>
      </c>
      <c r="B14" s="35" t="inlineStr">
        <is>
          <t>Ministry codes for Faculty Status 'Active' (11 on the job, or 12 on the job + external consultant) and Contract Type 'Full Time' (1 official position, or 2 contractor)</t>
        </is>
      </c>
      <c r="C14" s="34" t="inlineStr">
        <is>
          <t>Academic Affairs / HR</t>
        </is>
      </c>
      <c r="D14" s="35" t="inlineStr">
        <is>
          <t>Pick in Jameah Code Map; until then these are sent empty.</t>
        </is>
      </c>
      <c r="E14" s="34" t="inlineStr">
        <is>
          <t>JM-14</t>
        </is>
      </c>
      <c r="F14" s="36" t="inlineStr"/>
      <c r="G14" s="37" t="inlineStr"/>
      <c r="H14" s="34" t="inlineStr">
        <is>
          <t>21 Oct 2026</t>
        </is>
      </c>
    </row>
    <row r="15">
      <c r="A15" s="34" t="inlineStr">
        <is>
          <t>DEC-14</t>
        </is>
      </c>
      <c r="B15" s="35" t="inlineStr">
        <is>
          <t>Sick leave stages as built: 30 days full pay, 60 days 75% pay, 30 days unpaid, within one sick year from the first sick day</t>
        </is>
      </c>
      <c r="C15" s="34" t="inlineStr">
        <is>
          <t>HR + Finance</t>
        </is>
      </c>
      <c r="D15" s="35" t="inlineStr">
        <is>
          <t>Matches Saudi Labour Law Article 117; Finance to confirm the 75% pay on salary slips.</t>
        </is>
      </c>
      <c r="E15" s="34" t="inlineStr">
        <is>
          <t>HR-20, HR-30</t>
        </is>
      </c>
      <c r="F15" s="36" t="inlineStr"/>
      <c r="G15" s="37" t="inlineStr"/>
      <c r="H15" s="34" t="inlineStr">
        <is>
          <t>22 Oct 2026</t>
        </is>
      </c>
    </row>
    <row r="16">
      <c r="A16" s="34" t="inlineStr">
        <is>
          <t>DEC-15</t>
        </is>
      </c>
      <c r="B16" s="35" t="inlineStr">
        <is>
          <t>Students on Campus: keep one-hour slots (as built, 7:00-22:00) or count by the college's own teaching periods? The client's request says 'during each period'.</t>
        </is>
      </c>
      <c r="C16" s="34" t="inlineStr">
        <is>
          <t>HR (client)</t>
        </is>
      </c>
      <c r="D16" s="35" t="inlineStr">
        <is>
          <t>Review at the progress meeting; periods would need their start and end times.</t>
        </is>
      </c>
      <c r="E16" s="34" t="inlineStr">
        <is>
          <t>HR-38</t>
        </is>
      </c>
      <c r="F16" s="36" t="inlineStr"/>
      <c r="G16" s="37" t="inlineStr"/>
      <c r="H16" s="34" t="inlineStr">
        <is>
          <t>23 Oct 2026</t>
        </is>
      </c>
    </row>
  </sheetData>
  <autoFilter ref="A1:H1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34" customWidth="1" min="3" max="3"/>
    <col width="100" customWidth="1" min="4" max="4"/>
    <col width="16" customWidth="1" min="5" max="5"/>
  </cols>
  <sheetData>
    <row r="1" ht="30" customHeight="1">
      <c r="A1" s="21" t="inlineStr">
        <is>
          <t>Date</t>
        </is>
      </c>
      <c r="B1" s="21" t="inlineStr">
        <is>
          <t>Area</t>
        </is>
      </c>
      <c r="C1" s="21" t="inlineStr">
        <is>
          <t>Items</t>
        </is>
      </c>
      <c r="D1" s="21" t="inlineStr">
        <is>
          <t>What changed</t>
        </is>
      </c>
      <c r="E1" s="21" t="inlineStr">
        <is>
          <t>By</t>
        </is>
      </c>
    </row>
    <row r="2">
      <c r="A2" s="34" t="inlineStr">
        <is>
          <t>23 Oct 2026</t>
        </is>
      </c>
      <c r="B2" s="34" t="inlineStr">
        <is>
          <t>Documentation</t>
        </is>
      </c>
      <c r="C2" s="35" t="inlineStr">
        <is>
          <t>HR-37, HR-38, DEC-15, CL-38</t>
        </is>
      </c>
      <c r="D2" s="35" t="inlineStr">
        <is>
          <t>Academic Presence (HR requirements 1-4) checked against the client's request: all four are on the HR Dashboard and tested. The guides now say where each tab's data comes from, that Proctor Schedules stays empty until exam committees are entered (new Checklist CL-38), that Students on Campus counts by hour, and that after-4 PM times come from the timetable and class attendance until devices are connected. New decision DEC-15: hour slots or the college's own periods.</t>
        </is>
      </c>
      <c r="E2" s="34" t="inlineStr">
        <is>
          <t>Abdul Hakeem</t>
        </is>
      </c>
    </row>
    <row r="3">
      <c r="A3" s="34" t="inlineStr">
        <is>
          <t>23 Oct 2026</t>
        </is>
      </c>
      <c r="B3" s="34" t="inlineStr">
        <is>
          <t>Documentation</t>
        </is>
      </c>
      <c r="C3" s="35" t="inlineStr">
        <is>
          <t>HR-74, B-54, B-55, TC-ESS-02, TC-ESS-04, TC-ESS-16, CL-37</t>
        </is>
      </c>
      <c r="D3" s="35" t="inlineStr">
        <is>
          <t>Installation and Setup Guide (21 pages) and User Guide (30 pages) in PDF, with screenshots from the test site (QA data only); sources in docs/guides/src. Fixed while writing them: Remote Work Request duration and Permission Request hours were always 0 (now counted; reversed times refused; a patch fills in saved requests). Re-tested: 95/95 browser checks, 42 unit tests (0 failures), 0 file and 0 site problems, 29 server methods x 3 roles, no Error Log entries.</t>
        </is>
      </c>
      <c r="E3" s="34" t="inlineStr">
        <is>
          <t>Abdul Hakeem</t>
        </is>
      </c>
    </row>
    <row r="4">
      <c r="A4" s="34" t="inlineStr">
        <is>
          <t>23 Oct 2026</t>
        </is>
      </c>
      <c r="B4" s="34" t="inlineStr">
        <is>
          <t>Project tracking</t>
        </is>
      </c>
      <c r="C4" s="35" t="inlineStr">
        <is>
          <t>All tasks; HR-04 - HR-06, HR-11, HR-12, HR-28 - HR-30, HR-48, HR-66, HR-70, HR-71, HR-73, JM-03, JM-06, JM-12, JM-13, JM-16, JM-17, B-26, B-34, CL-35</t>
        </is>
      </c>
      <c r="D4" s="35" t="inlineStr">
        <is>
          <t>Owners corrected: Abdul Hakeem designed and built Medical HRMS and Jameah and leads every development task. New column 'Assigned to' (with a dropdown) shows who a task was given to: Dinesh (HR-06, and HR-04 at first), Fathir (HR-04, HR-05, HR-70), otherwise Abdul Hakeem; client-side tasks stay with HR, Academic Affairs, the Registrar or the server admin. Wording that credited others for this work removed. Status and Priority shown in clear colours in all three workbooks (Status, Priority, Result and Severity cells only), with a priority legend in the Read Me.</t>
        </is>
      </c>
      <c r="E4" s="34" t="inlineStr">
        <is>
          <t>Abdul Hakeem</t>
        </is>
      </c>
    </row>
    <row r="5">
      <c r="A5" s="34" t="inlineStr">
        <is>
          <t>23 Oct 2026</t>
        </is>
      </c>
      <c r="B5" s="34" t="inlineStr">
        <is>
          <t>Project tracking</t>
        </is>
      </c>
      <c r="C5" s="35" t="inlineStr">
        <is>
          <t>HR-72, B-52, B-53</t>
        </is>
      </c>
      <c r="D5" s="35" t="inlineStr">
        <is>
          <t>The three check scripts (files, site, server methods) now record their result in the Test Cases workbook (Last automated run: Pass, 23 Oct). The file check found a missing import in the site check; fixed.</t>
        </is>
      </c>
      <c r="E5" s="34" t="inlineStr">
        <is>
          <t>Abdul Hakeem</t>
        </is>
      </c>
    </row>
    <row r="6">
      <c r="A6" s="34" t="inlineStr">
        <is>
          <t>23 Oct 2026</t>
        </is>
      </c>
      <c r="B6" s="34" t="inlineStr">
        <is>
          <t>Medical HRMS</t>
        </is>
      </c>
      <c r="C6" s="35" t="inlineStr">
        <is>
          <t>HR-58, HR-69, HR-71 - HR-73, B-45 - B-51, CL-01, CL-30, CL-34 - CL-36, TC-ERR-06 - TC-ERR-09, TC-SEC-10</t>
        </is>
      </c>
      <c r="D6" s="35" t="inlineStr">
        <is>
          <t>Every branch merged into develop (ministry-lookup last; employee-applicant recorded as merged without its July files, as decided); develop is now the branch to test and deploy. Full check of every file and page (files, site, server methods by role, unit tests, browser suite with a sweep of every Medical HRMS doctype); checks kept in tests/checks. Fixed: stray files, outdated README and developer guide, QA setup race, refresh-lock test, Ministry code search. HR-69 corrected (employee counts were test hires). Result: 95/95 browser checks (error sweep: 116 pages for HR, 20 for employees), 37/37 unit tests, 23/23 Ministry views, 29 server methods x 3 roles, 0 file and 0 site problems, no Error Log entries.</t>
        </is>
      </c>
      <c r="E6" s="34" t="inlineStr">
        <is>
          <t>Abdul Hakeem</t>
        </is>
      </c>
    </row>
    <row r="7">
      <c r="A7" s="34" t="inlineStr">
        <is>
          <t>22 Oct 2026</t>
        </is>
      </c>
      <c r="B7" s="34" t="inlineStr">
        <is>
          <t>Medical HRMS</t>
        </is>
      </c>
      <c r="C7" s="35" t="inlineStr">
        <is>
          <t>HR-58, HR-70, JM-05, JM-19, B-42 – B-44, TC-REC-13, TC-REC-14</t>
        </is>
      </c>
      <c r="D7" s="35" t="inlineStr">
        <is>
          <t>develop (Fathir's job application update, PR #2) merged into feature/uat-2026-10-22; conflicts in job_application.py, job-application.html and ar.csv resolved keeping both sides; the Appreciation list restored and the work extension accepted again on the updated form (B-42, B-44); a migrate no longer fails when it overlaps the hourly Jameah refresh (B-43); test output removed from the repository. Re-tested: 95/95 browser checks, 37/37 unit tests, 23/23 Ministry views OK, no Error Log entries. Branch to test and deploy: feature/uat-2026-10-22.</t>
        </is>
      </c>
      <c r="E7" s="34" t="inlineStr">
        <is>
          <t>Abdul Hakeem</t>
        </is>
      </c>
    </row>
    <row r="8">
      <c r="A8" s="34" t="inlineStr">
        <is>
          <t>22 Oct 2026</t>
        </is>
      </c>
      <c r="B8" s="34" t="inlineStr">
        <is>
          <t>Medical HRMS</t>
        </is>
      </c>
      <c r="C8" s="35" t="inlineStr">
        <is>
          <t>HR-08, HR-09, HR-19, HR-20, HR-22, HR-68, HR-69, B-36 – B-40, DEC-14, CL-28 – CL-33</t>
        </is>
      </c>
      <c r="D8" s="35" t="inlineStr">
        <is>
          <t>Leave made one flow: Leave Plan (employees send it; manager and department head approve) -&gt; Leave Application (only leave the employee holds, with the days left; Apply now from an approved plan) -&gt; Leave Return (asked for when a leave ends; certificate and occupational health only after sick leave). Sick-leave types renamed in pay order (Sick Leave 1 / 2 / 3) by a migration patch. HR Portal Leave section: setup check per company, daily leave counts, yearly setup in order. Arabic for 114 new texts. 5 unit tests and 7 browser tests (LV-01 - LV-07); test cases TC-LV-09 - 17, TC-HRD-06/07. Real company Al Riyada College still needs its leave setup (HR-69). Branch to test and deploy: feature/uat-2026-10-22 (all work to date).</t>
        </is>
      </c>
      <c r="E8" s="34" t="inlineStr">
        <is>
          <t>Abdul Hakeem</t>
        </is>
      </c>
    </row>
    <row r="9">
      <c r="A9" s="34" t="inlineStr">
        <is>
          <t>22 Oct 2026</t>
        </is>
      </c>
      <c r="B9" s="34" t="inlineStr">
        <is>
          <t>Testing</t>
        </is>
      </c>
      <c r="C9" s="35" t="inlineStr">
        <is>
          <t>HR-67, B-41</t>
        </is>
      </c>
      <c r="D9" s="35" t="inlineStr">
        <is>
          <t>Browser test suite, QA data scripts and the results helper kept in the repository (tests/e2e); the QA scripts only run on a site named in QA_TEST_SITE. The QA reset no longer leaves the QA HR User without access to its own My Settings (test data only). The leave unit test now attaches a real test file, so it no longer writes 'Error Attaching File' to the Error Log. Full run 22 Oct: 95/95 browser checks, 36/36 unit tests, 23/23 Ministry views OK, no new Error Log entries.</t>
        </is>
      </c>
      <c r="E9" s="34" t="inlineStr">
        <is>
          <t>Abdul Hakeem</t>
        </is>
      </c>
    </row>
    <row r="10">
      <c r="A10" s="34" t="inlineStr">
        <is>
          <t>21 Oct 2026</t>
        </is>
      </c>
      <c r="B10" s="34" t="inlineStr">
        <is>
          <t>Medical HRMS + Jameah</t>
        </is>
      </c>
      <c r="C10" s="35" t="inlineStr">
        <is>
          <t>HR-49, HR-50, HR-51, HR-65, JM-14, B-35, DEC-12, DEC-13</t>
        </is>
      </c>
      <c r="D10" s="35" t="inlineStr">
        <is>
          <t>Report 'Employees Missing Ministry Data'; data sheet for non-academic staff (download, check, import); unused duplicate applicant Ministry fields removed; Create Employee dialog asks for every field the Employee form requires; Jameah Faculty views (8) built and verified (23 views in all). Arabic for the 46 new labels. Documents moved to the project_tracking folder; Checklist workbook added; dates on every row; HRM_TASK_TRACKER.md marked as superseded.</t>
        </is>
      </c>
      <c r="E10" s="34" t="inlineStr">
        <is>
          <t>Abdul Hakeem</t>
        </is>
      </c>
    </row>
    <row r="11">
      <c r="A11" s="34" t="inlineStr">
        <is>
          <t>21 Oct 2026</t>
        </is>
      </c>
      <c r="B11" s="34" t="inlineStr">
        <is>
          <t>Medical HRMS</t>
        </is>
      </c>
      <c r="C11" s="35" t="inlineStr">
        <is>
          <t>HR-66</t>
        </is>
      </c>
      <c r="D11" s="35" t="inlineStr">
        <is>
          <t>HR Portal and Employee Portal in the new college portal design (menu, top bar, EN/AR, dark mode); Arabic translations for these pages.</t>
        </is>
      </c>
      <c r="E11" s="34" t="inlineStr">
        <is>
          <t>Abdul Hakeem</t>
        </is>
      </c>
    </row>
    <row r="12">
      <c r="A12" s="34" t="inlineStr">
        <is>
          <t>21 Oct 2026</t>
        </is>
      </c>
      <c r="B12" s="34" t="inlineStr">
        <is>
          <t>Medical HRMS + Jameah</t>
        </is>
      </c>
      <c r="C12" s="35" t="inlineStr">
        <is>
          <t>HR-12, HR-31, HR-32, HR-45, HR-46, HR-59 – HR-64, JM-17, JM-18, B-24 – B-34</t>
        </is>
      </c>
      <c r="D12" s="35" t="inlineStr">
        <is>
          <t>End-to-end test round 3 with an error sweep of every page: fixes for the errors the client reported (non-Saudi employees, breadcrumb 'Not permitted', Cost Center pop-up, academic hire e-mail, Holiday List); HR login lands on the HR Dashboard; Ministry GPA and credit hours from the college's official calculation. Test Report, Test Cases and Task Tracker created.</t>
        </is>
      </c>
      <c r="E12" s="34" t="inlineStr">
        <is>
          <t>Abdul Hakeem</t>
        </is>
      </c>
    </row>
    <row r="13">
      <c r="A13" s="34" t="inlineStr">
        <is>
          <t>20 Oct 2026</t>
        </is>
      </c>
      <c r="B13" s="34" t="inlineStr">
        <is>
          <t>Medical HRMS + Jameah</t>
        </is>
      </c>
      <c r="C13" s="35" t="inlineStr">
        <is>
          <t>HR-07 – HR-09, HR-13 – HR-15, HR-19, HR-22, HR-26, HR-36 – HR-44, JM-02 – JM-07, B-12 – B-23</t>
        </is>
      </c>
      <c r="D13" s="35" t="inlineStr">
        <is>
          <t>Jameah Employee (5) and Student (10) views built and verified value by value; Academic Presence; browser test round 2 fixes.</t>
        </is>
      </c>
      <c r="E13" s="34" t="inlineStr">
        <is>
          <t>Abdul Hakeem</t>
        </is>
      </c>
    </row>
    <row r="14">
      <c r="A14" s="34" t="inlineStr">
        <is>
          <t>19 Oct 2026</t>
        </is>
      </c>
      <c r="B14" s="34" t="inlineStr">
        <is>
          <t>Medical HRMS + Jameah</t>
        </is>
      </c>
      <c r="C14" s="35" t="inlineStr">
        <is>
          <t>HR-02, HR-05, HR-06, HR-24, HR-27, HR-33 – HR-35, JM-01, B-01 – B-11</t>
        </is>
      </c>
      <c r="D14" s="35" t="inlineStr">
        <is>
          <t>Browser end-to-end test round 1 and fixes (approvals, recruitment security, Ministry identity rules); Instructor data sheet; Jameah research.</t>
        </is>
      </c>
      <c r="E14" s="34" t="inlineStr">
        <is>
          <t>Abdul Hakeem</t>
        </is>
      </c>
    </row>
    <row r="15">
      <c r="A15" s="34" t="inlineStr">
        <is>
          <t>1 Oct 2026</t>
        </is>
      </c>
      <c r="B15" s="34" t="inlineStr">
        <is>
          <t>Medical HRMS</t>
        </is>
      </c>
      <c r="C15" s="35" t="inlineStr">
        <is>
          <t>HR-01 – HR-32</t>
        </is>
      </c>
      <c r="D15" s="35" t="inlineStr">
        <is>
          <t>First HRM task tracker (HRM_TASK_TRACKER.md / .csv).</t>
        </is>
      </c>
      <c r="E15" s="34" t="inlineStr">
        <is>
          <t>Team</t>
        </is>
      </c>
    </row>
  </sheetData>
  <autoFilter ref="A1:E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2026-10-23T11:17:37Z</dcterms:created>
  <dcterms:modified xsi:type="dcterms:W3CDTF">2026-10-23T11:17:39Z</dcterms:modified>
</cp:coreProperties>
</file>